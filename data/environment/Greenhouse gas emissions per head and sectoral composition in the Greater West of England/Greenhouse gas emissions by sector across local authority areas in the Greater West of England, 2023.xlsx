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Environment - Green house gas emission\Geographical comparsion\"/>
    </mc:Choice>
  </mc:AlternateContent>
  <xr:revisionPtr revIDLastSave="0" documentId="13_ncr:1_{EE15559F-6CFF-40F9-8C60-39CF1C21A8EF}" xr6:coauthVersionLast="47" xr6:coauthVersionMax="47" xr10:uidLastSave="{00000000-0000-0000-0000-000000000000}"/>
  <bookViews>
    <workbookView xWindow="-110" yWindow="-110" windowWidth="19420" windowHeight="11500" activeTab="1" xr2:uid="{97EBBB2F-E60E-4130-8359-D364A39807AB}"/>
  </bookViews>
  <sheets>
    <sheet name="Metadata" sheetId="2" r:id="rId1"/>
    <sheet name="analysis_data" sheetId="1" r:id="rId2"/>
  </sheets>
  <externalReferences>
    <externalReference r:id="rId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 i="1" l="1"/>
  <c r="G14" i="1"/>
  <c r="F14" i="1"/>
  <c r="E14" i="1"/>
  <c r="D14" i="1"/>
  <c r="C14" i="1"/>
  <c r="B14" i="1"/>
  <c r="H13" i="1"/>
  <c r="G13" i="1"/>
  <c r="F13" i="1"/>
  <c r="E13" i="1"/>
  <c r="D13" i="1"/>
  <c r="C13" i="1"/>
  <c r="B13" i="1"/>
  <c r="H12" i="1"/>
  <c r="G12" i="1"/>
  <c r="F12" i="1"/>
  <c r="E12" i="1"/>
  <c r="D12" i="1"/>
  <c r="C12" i="1"/>
  <c r="B12" i="1"/>
  <c r="H11" i="1"/>
  <c r="G11" i="1"/>
  <c r="F11" i="1"/>
  <c r="E11" i="1"/>
  <c r="D11" i="1"/>
  <c r="C11" i="1"/>
  <c r="B11" i="1"/>
  <c r="H10" i="1"/>
  <c r="G10" i="1"/>
  <c r="F10" i="1"/>
  <c r="E10" i="1"/>
  <c r="D10" i="1"/>
  <c r="C10" i="1"/>
  <c r="B10" i="1"/>
  <c r="H9" i="1"/>
  <c r="G9" i="1"/>
  <c r="F9" i="1"/>
  <c r="E9" i="1"/>
  <c r="D9" i="1"/>
  <c r="C9" i="1"/>
  <c r="B9" i="1"/>
  <c r="H8" i="1"/>
  <c r="G8" i="1"/>
  <c r="F8" i="1"/>
  <c r="E8" i="1"/>
  <c r="D8" i="1"/>
  <c r="C8" i="1"/>
  <c r="B8" i="1"/>
  <c r="H7" i="1"/>
  <c r="G7" i="1"/>
  <c r="F7" i="1"/>
  <c r="E7" i="1"/>
  <c r="D7" i="1"/>
  <c r="C7" i="1"/>
  <c r="B7" i="1"/>
  <c r="H6" i="1"/>
  <c r="G6" i="1"/>
  <c r="F6" i="1"/>
  <c r="E6" i="1"/>
  <c r="D6" i="1"/>
  <c r="C6" i="1"/>
  <c r="B6" i="1"/>
  <c r="H5" i="1"/>
  <c r="G5" i="1"/>
  <c r="F5" i="1"/>
  <c r="E5" i="1"/>
  <c r="D5" i="1"/>
  <c r="C5" i="1"/>
  <c r="B5" i="1"/>
  <c r="H4" i="1"/>
  <c r="G4" i="1"/>
  <c r="F4" i="1"/>
  <c r="E4" i="1"/>
  <c r="D4" i="1"/>
  <c r="C4" i="1"/>
  <c r="B4" i="1"/>
  <c r="H3" i="1"/>
  <c r="G3" i="1"/>
  <c r="F3" i="1"/>
  <c r="E3" i="1"/>
  <c r="D3" i="1"/>
  <c r="C3" i="1"/>
  <c r="B3" i="1"/>
  <c r="H2" i="1"/>
  <c r="G2" i="1"/>
  <c r="F2" i="1"/>
  <c r="E2" i="1"/>
  <c r="D2" i="1"/>
  <c r="C2" i="1"/>
  <c r="B2" i="1"/>
</calcChain>
</file>

<file path=xl/sharedStrings.xml><?xml version="1.0" encoding="utf-8"?>
<sst xmlns="http://schemas.openxmlformats.org/spreadsheetml/2006/main" count="41" uniqueCount="41">
  <si>
    <t>Bath and North East Somerset</t>
  </si>
  <si>
    <t>Bristol, City of</t>
  </si>
  <si>
    <t>Cheltenham</t>
  </si>
  <si>
    <t>Cotswold</t>
  </si>
  <si>
    <t>Forest of Dean</t>
  </si>
  <si>
    <t>Gloucester</t>
  </si>
  <si>
    <t>North Somerset</t>
  </si>
  <si>
    <t>South Gloucestershire</t>
  </si>
  <si>
    <t>Stroud</t>
  </si>
  <si>
    <t>Swindon</t>
  </si>
  <si>
    <t>Tewkesbury</t>
  </si>
  <si>
    <t>Wiltshire</t>
  </si>
  <si>
    <t>Gloucestershire</t>
  </si>
  <si>
    <t>Agriculture (%)</t>
  </si>
  <si>
    <t>Commercial (%)</t>
  </si>
  <si>
    <t>Domestic (%)</t>
  </si>
  <si>
    <t>Industry (%)</t>
  </si>
  <si>
    <t>Public Sector (%)</t>
  </si>
  <si>
    <t>Transport (%)</t>
  </si>
  <si>
    <t>Waste (%)</t>
  </si>
  <si>
    <t>Area</t>
  </si>
  <si>
    <t>Publisher</t>
  </si>
  <si>
    <t>Department for Energy Security and Net Zero (DESNZ)</t>
  </si>
  <si>
    <t>Dataset</t>
  </si>
  <si>
    <t>UK local authority and regional greenhouse gas emissions statistics ( 2005-2023 )</t>
  </si>
  <si>
    <t>Tables</t>
  </si>
  <si>
    <t>Publication date</t>
  </si>
  <si>
    <t>Next update</t>
  </si>
  <si>
    <t>tbc</t>
  </si>
  <si>
    <t>Link</t>
  </si>
  <si>
    <t>UK local authority and regional greenhouse gas emissions statistics, 2005 to 2023 - GOV.UK</t>
  </si>
  <si>
    <t>Created date</t>
  </si>
  <si>
    <t>Last updated</t>
  </si>
  <si>
    <t>Geography used for analysis</t>
  </si>
  <si>
    <t>Data information:</t>
  </si>
  <si>
    <t xml:space="preserve">These data provide estimates of territorial greenhouse gas emissions within UK borders, covering carbon dioxide (CO₂), methane (CH₄) and nitrous oxide (N₂O). Emissions are reported in kilotonnes of carbon dioxide equivalent (kt CO₂e) and are available annually for the period 2005 to 2023.
The statistics are published by the Department for Energy Security and Net Zero (DESNZ) and are produced for local authority areas in the UK. Emissions of fluorinated gases are not included, as these are not available at local authority level.
Percentage calculations exclude emissions from land use, land-use change and forestry (LULUCF), which represent a net removal of greenhouse gases in the Greater West of England.
</t>
  </si>
  <si>
    <t>`</t>
  </si>
  <si>
    <t>England</t>
  </si>
  <si>
    <t>UK</t>
  </si>
  <si>
    <t>Local Authority Districts and Unitary Authorities within the Greater West of England, comprising Bath and North East Somerset, Bristol, Gloucestershire and its districts, North Somerset, South Gloucestershire, Swindon and Wiltshire. England and UK totals shown for comparison.</t>
  </si>
  <si>
    <t>Greater West of England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</si>
</sst>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1"/>
      <color theme="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3" fillId="0" borderId="0" applyNumberFormat="0" applyFill="0" applyBorder="0" applyAlignment="0" applyProtection="0"/>
    <xf numFmtId="0" fontId="1" fillId="0" borderId="0"/>
  </cellStyleXfs>
  <cellXfs count="9">
    <xf numFmtId="0" fontId="0" fillId="0" borderId="0" xfId="0"/>
    <xf numFmtId="0" fontId="2" fillId="0" borderId="0" xfId="2" applyFont="1" applyAlignment="1">
      <alignment horizontal="left" vertical="top" wrapText="1"/>
    </xf>
    <xf numFmtId="0" fontId="1" fillId="0" borderId="0" xfId="2" applyAlignment="1">
      <alignment horizontal="left" wrapText="1"/>
    </xf>
    <xf numFmtId="17" fontId="1" fillId="0" borderId="0" xfId="2" applyNumberFormat="1" applyAlignment="1">
      <alignment horizontal="left" wrapText="1"/>
    </xf>
    <xf numFmtId="0" fontId="3" fillId="0" borderId="0" xfId="1"/>
    <xf numFmtId="14" fontId="1" fillId="0" borderId="0" xfId="2" applyNumberFormat="1" applyAlignment="1">
      <alignment horizontal="left" wrapText="1"/>
    </xf>
    <xf numFmtId="0" fontId="0" fillId="0" borderId="0" xfId="0" applyAlignment="1">
      <alignment wrapText="1"/>
    </xf>
    <xf numFmtId="2" fontId="0" fillId="0" borderId="0" xfId="0" applyNumberFormat="1"/>
    <xf numFmtId="0" fontId="4" fillId="0" borderId="0" xfId="0" applyFont="1"/>
  </cellXfs>
  <cellStyles count="3">
    <cellStyle name="Hyperlink" xfId="1" builtinId="8"/>
    <cellStyle name="Normal" xfId="0" builtinId="0"/>
    <cellStyle name="Normal 2" xfId="2" xr:uid="{9531750F-AE44-426D-9E70-55F0D46A100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k3626\Downloads\2005-23-uk-local-authority-ghg-emissions-CSV-dataset.csv" TargetMode="External"/><Relationship Id="rId1" Type="http://schemas.openxmlformats.org/officeDocument/2006/relationships/externalLinkPath" Target="file:///C:\Users\sk3626\Downloads\2005-23-uk-local-authority-ghg-emissions-CSV-dataset.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1 (3)"/>
      <sheetName val="Table1 (2)"/>
      <sheetName val="Table1"/>
      <sheetName val="Sheet1"/>
      <sheetName val="Whole table pivot"/>
      <sheetName val="Sheet5"/>
      <sheetName val="population pivot"/>
      <sheetName val="GWE data"/>
      <sheetName val="2005-23-uk-local-authority-ghg-"/>
      <sheetName val="CA lookup table"/>
    </sheetNames>
    <sheetDataSet>
      <sheetData sheetId="0"/>
      <sheetData sheetId="1"/>
      <sheetData sheetId="2"/>
      <sheetData sheetId="3"/>
      <sheetData sheetId="4"/>
      <sheetData sheetId="5"/>
      <sheetData sheetId="6"/>
      <sheetData sheetId="7">
        <row r="1004">
          <cell r="B1004">
            <v>96.249875612000011</v>
          </cell>
          <cell r="C1004">
            <v>62.689035605000001</v>
          </cell>
          <cell r="D1004">
            <v>215.80305274599999</v>
          </cell>
          <cell r="E1004">
            <v>26.714855051999997</v>
          </cell>
          <cell r="F1004">
            <v>33.950511764000005</v>
          </cell>
          <cell r="G1004">
            <v>240.51590479699999</v>
          </cell>
          <cell r="H1004">
            <v>13.363976927</v>
          </cell>
          <cell r="I1004">
            <v>689.28721250299998</v>
          </cell>
        </row>
        <row r="1005">
          <cell r="B1005">
            <v>5.1927929919999993</v>
          </cell>
          <cell r="C1005">
            <v>223.77893822199999</v>
          </cell>
          <cell r="D1005">
            <v>432.545156889</v>
          </cell>
          <cell r="E1005">
            <v>84.595336355000001</v>
          </cell>
          <cell r="F1005">
            <v>88.605380514999993</v>
          </cell>
          <cell r="G1005">
            <v>529.598520334</v>
          </cell>
          <cell r="H1005">
            <v>81.407214629999999</v>
          </cell>
          <cell r="I1005">
            <v>1445.7233399369998</v>
          </cell>
        </row>
        <row r="1006">
          <cell r="B1006">
            <v>5.5270411069999996</v>
          </cell>
          <cell r="C1006">
            <v>41.312068326999992</v>
          </cell>
          <cell r="D1006">
            <v>131.45279185999999</v>
          </cell>
          <cell r="E1006">
            <v>23.990039837000001</v>
          </cell>
          <cell r="F1006">
            <v>41.301045082999998</v>
          </cell>
          <cell r="G1006">
            <v>93.522459988000008</v>
          </cell>
          <cell r="H1006">
            <v>19.035438562</v>
          </cell>
          <cell r="I1006">
            <v>356.14088476400002</v>
          </cell>
        </row>
        <row r="1007">
          <cell r="B1007">
            <v>196.45472274500003</v>
          </cell>
          <cell r="C1007">
            <v>38.516772033000002</v>
          </cell>
          <cell r="D1007">
            <v>131.56505583399999</v>
          </cell>
          <cell r="E1007">
            <v>36.493079666999996</v>
          </cell>
          <cell r="F1007">
            <v>8.9416984359999994</v>
          </cell>
          <cell r="G1007">
            <v>274.28218793099995</v>
          </cell>
          <cell r="H1007">
            <v>15.261146554</v>
          </cell>
          <cell r="I1007">
            <v>701.51466319999997</v>
          </cell>
        </row>
        <row r="1008">
          <cell r="B1008">
            <v>158.02771874900003</v>
          </cell>
          <cell r="C1008">
            <v>25.996703026000002</v>
          </cell>
          <cell r="D1008">
            <v>104.69350677899999</v>
          </cell>
          <cell r="E1008">
            <v>70.560220055000002</v>
          </cell>
          <cell r="F1008">
            <v>6.0170874460000006</v>
          </cell>
          <cell r="G1008">
            <v>169.24530277999997</v>
          </cell>
          <cell r="H1008">
            <v>20.210197827000002</v>
          </cell>
          <cell r="I1008">
            <v>554.75073666200001</v>
          </cell>
        </row>
        <row r="1009">
          <cell r="B1009">
            <v>4.5578072220000001</v>
          </cell>
          <cell r="C1009">
            <v>59.178286953999994</v>
          </cell>
          <cell r="D1009">
            <v>129.58321121900002</v>
          </cell>
          <cell r="E1009">
            <v>68.736629905000001</v>
          </cell>
          <cell r="F1009">
            <v>18.206011239999999</v>
          </cell>
          <cell r="G1009">
            <v>117.06248739500003</v>
          </cell>
          <cell r="H1009">
            <v>43.129201318</v>
          </cell>
          <cell r="I1009">
            <v>440.45363525300002</v>
          </cell>
        </row>
        <row r="1010">
          <cell r="B1010">
            <v>99.890712536999999</v>
          </cell>
          <cell r="C1010">
            <v>147.86868000600001</v>
          </cell>
          <cell r="D1010">
            <v>240.65641773900001</v>
          </cell>
          <cell r="E1010">
            <v>115.07868245399999</v>
          </cell>
          <cell r="F1010">
            <v>22.434697628000002</v>
          </cell>
          <cell r="G1010">
            <v>514.94346390300007</v>
          </cell>
          <cell r="H1010">
            <v>20.833800478000001</v>
          </cell>
          <cell r="I1010">
            <v>1161.7064547450002</v>
          </cell>
        </row>
        <row r="1011">
          <cell r="B1011">
            <v>116.257789319</v>
          </cell>
          <cell r="C1011">
            <v>132.22739278300003</v>
          </cell>
          <cell r="D1011">
            <v>299.05507788200003</v>
          </cell>
          <cell r="E1011">
            <v>126.39171549500001</v>
          </cell>
          <cell r="F1011">
            <v>26.481276370000003</v>
          </cell>
          <cell r="G1011">
            <v>845.72572528000001</v>
          </cell>
          <cell r="H1011">
            <v>49.221000257</v>
          </cell>
          <cell r="I1011">
            <v>1595.3599773860001</v>
          </cell>
        </row>
        <row r="1012">
          <cell r="B1012">
            <v>135.25324637099999</v>
          </cell>
          <cell r="C1012">
            <v>29.428386054000001</v>
          </cell>
          <cell r="D1012">
            <v>147.45810230400002</v>
          </cell>
          <cell r="E1012">
            <v>67.521764946000005</v>
          </cell>
          <cell r="F1012">
            <v>22.524498340000001</v>
          </cell>
          <cell r="G1012">
            <v>374.69744786400003</v>
          </cell>
          <cell r="H1012">
            <v>19.395616265000001</v>
          </cell>
          <cell r="I1012">
            <v>796.27906214399991</v>
          </cell>
        </row>
        <row r="1013">
          <cell r="B1013">
            <v>41.849279381999992</v>
          </cell>
          <cell r="C1013">
            <v>115.218402419</v>
          </cell>
          <cell r="D1013">
            <v>234.63818067899999</v>
          </cell>
          <cell r="E1013">
            <v>68.267607129999988</v>
          </cell>
          <cell r="F1013">
            <v>20.144266198999997</v>
          </cell>
          <cell r="G1013">
            <v>405.12496991900002</v>
          </cell>
          <cell r="H1013">
            <v>20.338585413000001</v>
          </cell>
          <cell r="I1013">
            <v>905.58129114099995</v>
          </cell>
        </row>
        <row r="1014">
          <cell r="B1014">
            <v>106.220433927</v>
          </cell>
          <cell r="C1014">
            <v>35.277791698999998</v>
          </cell>
          <cell r="D1014">
            <v>109.88763439900001</v>
          </cell>
          <cell r="E1014">
            <v>53.913892226000002</v>
          </cell>
          <cell r="F1014">
            <v>20.335352201999999</v>
          </cell>
          <cell r="G1014">
            <v>355.06373389099997</v>
          </cell>
          <cell r="H1014">
            <v>21.954388237</v>
          </cell>
          <cell r="I1014">
            <v>702.65322658100001</v>
          </cell>
        </row>
        <row r="1015">
          <cell r="B1015">
            <v>720.08120981899992</v>
          </cell>
          <cell r="C1015">
            <v>224.50499977800001</v>
          </cell>
          <cell r="D1015">
            <v>593.73703190600008</v>
          </cell>
          <cell r="E1015">
            <v>173.01354510699997</v>
          </cell>
          <cell r="F1015">
            <v>60.736744509000005</v>
          </cell>
          <cell r="G1015">
            <v>1130.8089904599999</v>
          </cell>
          <cell r="H1015">
            <v>180.80971781699998</v>
          </cell>
          <cell r="I1015">
            <v>3083.6922393960003</v>
          </cell>
        </row>
        <row r="1020">
          <cell r="B1020">
            <v>606.0409701210001</v>
          </cell>
          <cell r="C1020">
            <v>229.71000809299997</v>
          </cell>
          <cell r="D1020">
            <v>754.64030239500016</v>
          </cell>
          <cell r="E1020">
            <v>321.21562663600002</v>
          </cell>
          <cell r="F1020">
            <v>117.32569274700001</v>
          </cell>
          <cell r="G1020">
            <v>1383.8736198490001</v>
          </cell>
          <cell r="H1020">
            <v>138.98598876299999</v>
          </cell>
          <cell r="I1020">
            <v>3551.7922086040003</v>
          </cell>
        </row>
      </sheetData>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uk-local-authority-and-regional-greenhouse-gas-emissions-statistics-2005-to-20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76DAD-7DAF-4226-B494-18FDBA15414E}">
  <dimension ref="A1:B10"/>
  <sheetViews>
    <sheetView workbookViewId="0">
      <selection activeCell="B10" sqref="B10"/>
    </sheetView>
  </sheetViews>
  <sheetFormatPr defaultRowHeight="14.5" x14ac:dyDescent="0.35"/>
  <cols>
    <col min="1" max="1" width="25.1796875" bestFit="1" customWidth="1"/>
    <col min="2" max="2" width="128.81640625" customWidth="1"/>
  </cols>
  <sheetData>
    <row r="1" spans="1:2" x14ac:dyDescent="0.35">
      <c r="A1" s="1" t="s">
        <v>21</v>
      </c>
      <c r="B1" t="s">
        <v>22</v>
      </c>
    </row>
    <row r="2" spans="1:2" x14ac:dyDescent="0.35">
      <c r="A2" s="1" t="s">
        <v>23</v>
      </c>
      <c r="B2" t="s">
        <v>24</v>
      </c>
    </row>
    <row r="3" spans="1:2" x14ac:dyDescent="0.35">
      <c r="A3" s="1" t="s">
        <v>25</v>
      </c>
      <c r="B3" s="2"/>
    </row>
    <row r="4" spans="1:2" x14ac:dyDescent="0.35">
      <c r="A4" s="1" t="s">
        <v>26</v>
      </c>
      <c r="B4" s="3">
        <v>45841</v>
      </c>
    </row>
    <row r="5" spans="1:2" x14ac:dyDescent="0.35">
      <c r="A5" s="1" t="s">
        <v>27</v>
      </c>
      <c r="B5" s="3" t="s">
        <v>28</v>
      </c>
    </row>
    <row r="6" spans="1:2" x14ac:dyDescent="0.35">
      <c r="A6" s="1" t="s">
        <v>29</v>
      </c>
      <c r="B6" s="4" t="s">
        <v>30</v>
      </c>
    </row>
    <row r="7" spans="1:2" x14ac:dyDescent="0.35">
      <c r="A7" s="1" t="s">
        <v>31</v>
      </c>
      <c r="B7" s="5">
        <v>46043</v>
      </c>
    </row>
    <row r="8" spans="1:2" x14ac:dyDescent="0.35">
      <c r="A8" s="1" t="s">
        <v>32</v>
      </c>
      <c r="B8" s="5">
        <v>46043</v>
      </c>
    </row>
    <row r="9" spans="1:2" ht="29" x14ac:dyDescent="0.35">
      <c r="A9" s="1" t="s">
        <v>33</v>
      </c>
      <c r="B9" s="2" t="s">
        <v>39</v>
      </c>
    </row>
    <row r="10" spans="1:2" ht="130.5" x14ac:dyDescent="0.35">
      <c r="A10" s="1" t="s">
        <v>34</v>
      </c>
      <c r="B10" s="6" t="s">
        <v>35</v>
      </c>
    </row>
  </sheetData>
  <hyperlinks>
    <hyperlink ref="B6" r:id="rId1" display="https://www.gov.uk/government/statistics/uk-local-authority-and-regional-greenhouse-gas-emissions-statistics-2005-to-2023" xr:uid="{8C9EF78B-2BC4-46BE-A012-60B87DBE4EE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90AFA-733F-4400-832A-8BD2D354F03B}">
  <dimension ref="A1:K18"/>
  <sheetViews>
    <sheetView tabSelected="1" workbookViewId="0">
      <selection activeCell="A17" sqref="A17"/>
    </sheetView>
  </sheetViews>
  <sheetFormatPr defaultRowHeight="14.5" x14ac:dyDescent="0.35"/>
  <cols>
    <col min="1" max="1" width="26.26953125" bestFit="1" customWidth="1"/>
    <col min="2" max="5" width="11.81640625" bestFit="1" customWidth="1"/>
    <col min="6" max="6" width="12.26953125" bestFit="1" customWidth="1"/>
    <col min="7" max="8" width="11.81640625" bestFit="1" customWidth="1"/>
  </cols>
  <sheetData>
    <row r="1" spans="1:11" x14ac:dyDescent="0.35">
      <c r="A1" t="s">
        <v>20</v>
      </c>
      <c r="B1" t="s">
        <v>13</v>
      </c>
      <c r="C1" t="s">
        <v>14</v>
      </c>
      <c r="D1" t="s">
        <v>15</v>
      </c>
      <c r="E1" t="s">
        <v>16</v>
      </c>
      <c r="F1" t="s">
        <v>17</v>
      </c>
      <c r="G1" t="s">
        <v>18</v>
      </c>
      <c r="H1" t="s">
        <v>19</v>
      </c>
    </row>
    <row r="2" spans="1:11" x14ac:dyDescent="0.35">
      <c r="A2" t="s">
        <v>0</v>
      </c>
      <c r="B2" s="7">
        <f>'[1]GWE data'!B1004/'[1]GWE data'!$I1004*100</f>
        <v>13.963682172847665</v>
      </c>
      <c r="C2" s="7">
        <f>'[1]GWE data'!C1004/'[1]GWE data'!$I1004*100</f>
        <v>9.0947625993753896</v>
      </c>
      <c r="D2" s="7">
        <f>'[1]GWE data'!D1004/'[1]GWE data'!$I1004*100</f>
        <v>31.30814685540982</v>
      </c>
      <c r="E2" s="7">
        <f>'[1]GWE data'!E1004/'[1]GWE data'!$I1004*100</f>
        <v>3.8757218424219246</v>
      </c>
      <c r="F2" s="7">
        <f>'[1]GWE data'!F1004/'[1]GWE data'!$I1004*100</f>
        <v>4.9254521407289626</v>
      </c>
      <c r="G2" s="7">
        <f>'[1]GWE data'!G1004/'[1]GWE data'!$I1004*100</f>
        <v>34.893423297904747</v>
      </c>
      <c r="H2" s="7">
        <f>'[1]GWE data'!H1004/'[1]GWE data'!$I1004*100</f>
        <v>1.9388110913114951</v>
      </c>
      <c r="K2" s="7"/>
    </row>
    <row r="3" spans="1:11" x14ac:dyDescent="0.35">
      <c r="A3" t="s">
        <v>1</v>
      </c>
      <c r="B3" s="7">
        <f>'[1]GWE data'!B1005/'[1]GWE data'!$I1005*100</f>
        <v>0.35918303651556771</v>
      </c>
      <c r="C3" s="7">
        <f>'[1]GWE data'!C1005/'[1]GWE data'!$I1005*100</f>
        <v>15.478683371865021</v>
      </c>
      <c r="D3" s="7">
        <f>'[1]GWE data'!D1005/'[1]GWE data'!$I1005*100</f>
        <v>29.918944028934959</v>
      </c>
      <c r="E3" s="7">
        <f>'[1]GWE data'!E1005/'[1]GWE data'!$I1005*100</f>
        <v>5.8514194257032894</v>
      </c>
      <c r="F3" s="7">
        <f>'[1]GWE data'!F1005/'[1]GWE data'!$I1005*100</f>
        <v>6.1287922846193483</v>
      </c>
      <c r="G3" s="7">
        <f>'[1]GWE data'!G1005/'[1]GWE data'!$I1005*100</f>
        <v>36.632079299285458</v>
      </c>
      <c r="H3" s="7">
        <f>'[1]GWE data'!H1005/'[1]GWE data'!$I1005*100</f>
        <v>5.6308985530763769</v>
      </c>
      <c r="K3" s="7"/>
    </row>
    <row r="4" spans="1:11" x14ac:dyDescent="0.35">
      <c r="A4" t="s">
        <v>2</v>
      </c>
      <c r="B4" s="7">
        <f>'[1]GWE data'!B1006/'[1]GWE data'!$I1006*100</f>
        <v>1.55192547203968</v>
      </c>
      <c r="C4" s="7">
        <f>'[1]GWE data'!C1006/'[1]GWE data'!$I1006*100</f>
        <v>11.599922978339263</v>
      </c>
      <c r="D4" s="7">
        <f>'[1]GWE data'!D1006/'[1]GWE data'!$I1006*100</f>
        <v>36.910334500659303</v>
      </c>
      <c r="E4" s="7">
        <f>'[1]GWE data'!E1006/'[1]GWE data'!$I1006*100</f>
        <v>6.7361094621015551</v>
      </c>
      <c r="F4" s="7">
        <f>'[1]GWE data'!F1006/'[1]GWE data'!$I1006*100</f>
        <v>11.596827786388106</v>
      </c>
      <c r="G4" s="7">
        <f>'[1]GWE data'!G1006/'[1]GWE data'!$I1006*100</f>
        <v>26.259961714301213</v>
      </c>
      <c r="H4" s="7">
        <f>'[1]GWE data'!H1006/'[1]GWE data'!$I1006*100</f>
        <v>5.3449180861708721</v>
      </c>
      <c r="K4" s="7"/>
    </row>
    <row r="5" spans="1:11" x14ac:dyDescent="0.35">
      <c r="A5" t="s">
        <v>3</v>
      </c>
      <c r="B5" s="7">
        <f>'[1]GWE data'!B1007/'[1]GWE data'!$I1007*100</f>
        <v>28.004364420390072</v>
      </c>
      <c r="C5" s="7">
        <f>'[1]GWE data'!C1007/'[1]GWE data'!$I1007*100</f>
        <v>5.4905156019552761</v>
      </c>
      <c r="D5" s="7">
        <f>'[1]GWE data'!D1007/'[1]GWE data'!$I1007*100</f>
        <v>18.754427061276001</v>
      </c>
      <c r="E5" s="7">
        <f>'[1]GWE data'!E1007/'[1]GWE data'!$I1007*100</f>
        <v>5.2020408954154558</v>
      </c>
      <c r="F5" s="7">
        <f>'[1]GWE data'!F1007/'[1]GWE data'!$I1007*100</f>
        <v>1.2746274461622686</v>
      </c>
      <c r="G5" s="7">
        <f>'[1]GWE data'!G1007/'[1]GWE data'!$I1007*100</f>
        <v>39.098568044158306</v>
      </c>
      <c r="H5" s="7">
        <f>'[1]GWE data'!H1007/'[1]GWE data'!$I1007*100</f>
        <v>2.1754565306426228</v>
      </c>
      <c r="K5" s="7"/>
    </row>
    <row r="6" spans="1:11" x14ac:dyDescent="0.35">
      <c r="A6" t="s">
        <v>4</v>
      </c>
      <c r="B6" s="7">
        <f>'[1]GWE data'!B1008/'[1]GWE data'!$I1008*100</f>
        <v>28.486256674460908</v>
      </c>
      <c r="C6" s="7">
        <f>'[1]GWE data'!C1008/'[1]GWE data'!$I1008*100</f>
        <v>4.686195314029721</v>
      </c>
      <c r="D6" s="7">
        <f>'[1]GWE data'!D1008/'[1]GWE data'!$I1008*100</f>
        <v>18.872170843603207</v>
      </c>
      <c r="E6" s="7">
        <f>'[1]GWE data'!E1008/'[1]GWE data'!$I1008*100</f>
        <v>12.71926567949582</v>
      </c>
      <c r="F6" s="7">
        <f>'[1]GWE data'!F1008/'[1]GWE data'!$I1008*100</f>
        <v>1.0846470402555062</v>
      </c>
      <c r="G6" s="7">
        <f>'[1]GWE data'!G1008/'[1]GWE data'!$I1008*100</f>
        <v>30.508351155758483</v>
      </c>
      <c r="H6" s="7">
        <f>'[1]GWE data'!H1008/'[1]GWE data'!$I1008*100</f>
        <v>3.6431132923963516</v>
      </c>
      <c r="K6" s="7"/>
    </row>
    <row r="7" spans="1:11" x14ac:dyDescent="0.35">
      <c r="A7" t="s">
        <v>5</v>
      </c>
      <c r="B7" s="7">
        <f>'[1]GWE data'!B1009/'[1]GWE data'!$I1009*100</f>
        <v>1.034798411728844</v>
      </c>
      <c r="C7" s="7">
        <f>'[1]GWE data'!C1009/'[1]GWE data'!$I1009*100</f>
        <v>13.435758549252869</v>
      </c>
      <c r="D7" s="7">
        <f>'[1]GWE data'!D1009/'[1]GWE data'!$I1009*100</f>
        <v>29.420397709867103</v>
      </c>
      <c r="E7" s="7">
        <f>'[1]GWE data'!E1009/'[1]GWE data'!$I1009*100</f>
        <v>15.60587185652745</v>
      </c>
      <c r="F7" s="7">
        <f>'[1]GWE data'!F1009/'[1]GWE data'!$I1009*100</f>
        <v>4.13346826608488</v>
      </c>
      <c r="G7" s="7">
        <f>'[1]GWE data'!G1009/'[1]GWE data'!$I1009*100</f>
        <v>26.577709439895624</v>
      </c>
      <c r="H7" s="7">
        <f>'[1]GWE data'!H1009/'[1]GWE data'!$I1009*100</f>
        <v>9.791995766643236</v>
      </c>
      <c r="K7" s="7"/>
    </row>
    <row r="8" spans="1:11" x14ac:dyDescent="0.35">
      <c r="A8" t="s">
        <v>6</v>
      </c>
      <c r="B8" s="7">
        <f>'[1]GWE data'!B1010/'[1]GWE data'!$I1010*100</f>
        <v>8.5986190512237837</v>
      </c>
      <c r="C8" s="7">
        <f>'[1]GWE data'!C1010/'[1]GWE data'!$I1010*100</f>
        <v>12.728575226730394</v>
      </c>
      <c r="D8" s="7">
        <f>'[1]GWE data'!D1010/'[1]GWE data'!$I1010*100</f>
        <v>20.715768321337695</v>
      </c>
      <c r="E8" s="7">
        <f>'[1]GWE data'!E1010/'[1]GWE data'!$I1010*100</f>
        <v>9.9060035333332355</v>
      </c>
      <c r="F8" s="7">
        <f>'[1]GWE data'!F1010/'[1]GWE data'!$I1010*100</f>
        <v>1.9311847271197713</v>
      </c>
      <c r="G8" s="7">
        <f>'[1]GWE data'!G1010/'[1]GWE data'!$I1010*100</f>
        <v>44.326470064766269</v>
      </c>
      <c r="H8" s="7">
        <f>'[1]GWE data'!H1010/'[1]GWE data'!$I1010*100</f>
        <v>1.7933790754888344</v>
      </c>
      <c r="K8" s="7"/>
    </row>
    <row r="9" spans="1:11" x14ac:dyDescent="0.35">
      <c r="A9" t="s">
        <v>7</v>
      </c>
      <c r="B9" s="7">
        <f>'[1]GWE data'!B1011/'[1]GWE data'!$I1011*100</f>
        <v>7.2872449457763482</v>
      </c>
      <c r="C9" s="7">
        <f>'[1]GWE data'!C1011/'[1]GWE data'!$I1011*100</f>
        <v>8.2882480855295633</v>
      </c>
      <c r="D9" s="7">
        <f>'[1]GWE data'!D1011/'[1]GWE data'!$I1011*100</f>
        <v>18.745304014207644</v>
      </c>
      <c r="E9" s="7">
        <f>'[1]GWE data'!E1011/'[1]GWE data'!$I1011*100</f>
        <v>7.9224574570369413</v>
      </c>
      <c r="F9" s="7">
        <f>'[1]GWE data'!F1011/'[1]GWE data'!$I1011*100</f>
        <v>1.6598934876998495</v>
      </c>
      <c r="G9" s="7">
        <f>'[1]GWE data'!G1011/'[1]GWE data'!$I1011*100</f>
        <v>53.011592196622793</v>
      </c>
      <c r="H9" s="7">
        <f>'[1]GWE data'!H1011/'[1]GWE data'!$I1011*100</f>
        <v>3.0852598131268585</v>
      </c>
      <c r="K9" s="7"/>
    </row>
    <row r="10" spans="1:11" x14ac:dyDescent="0.35">
      <c r="A10" t="s">
        <v>8</v>
      </c>
      <c r="B10" s="7">
        <f>'[1]GWE data'!B1012/'[1]GWE data'!$I1012*100</f>
        <v>16.985659023461885</v>
      </c>
      <c r="C10" s="7">
        <f>'[1]GWE data'!C1012/'[1]GWE data'!$I1012*100</f>
        <v>3.6957377699676526</v>
      </c>
      <c r="D10" s="7">
        <f>'[1]GWE data'!D1012/'[1]GWE data'!$I1012*100</f>
        <v>18.518395034394807</v>
      </c>
      <c r="E10" s="7">
        <f>'[1]GWE data'!E1012/'[1]GWE data'!$I1012*100</f>
        <v>8.4796609826956999</v>
      </c>
      <c r="F10" s="7">
        <f>'[1]GWE data'!F1012/'[1]GWE data'!$I1012*100</f>
        <v>2.8287191527242053</v>
      </c>
      <c r="G10" s="7">
        <f>'[1]GWE data'!G1012/'[1]GWE data'!$I1012*100</f>
        <v>47.05604676520295</v>
      </c>
      <c r="H10" s="7">
        <f>'[1]GWE data'!H1012/'[1]GWE data'!$I1012*100</f>
        <v>2.4357812715528211</v>
      </c>
      <c r="K10" s="7"/>
    </row>
    <row r="11" spans="1:11" x14ac:dyDescent="0.35">
      <c r="A11" t="s">
        <v>9</v>
      </c>
      <c r="B11" s="7">
        <f>'[1]GWE data'!B1013/'[1]GWE data'!$I1013*100</f>
        <v>4.6212614804874557</v>
      </c>
      <c r="C11" s="7">
        <f>'[1]GWE data'!C1013/'[1]GWE data'!$I1013*100</f>
        <v>12.723142974147461</v>
      </c>
      <c r="D11" s="7">
        <f>'[1]GWE data'!D1013/'[1]GWE data'!$I1013*100</f>
        <v>25.910228377550105</v>
      </c>
      <c r="E11" s="7">
        <f>'[1]GWE data'!E1013/'[1]GWE data'!$I1013*100</f>
        <v>7.5385399188167028</v>
      </c>
      <c r="F11" s="7">
        <f>'[1]GWE data'!F1013/'[1]GWE data'!$I1013*100</f>
        <v>2.2244569754327572</v>
      </c>
      <c r="G11" s="7">
        <f>'[1]GWE data'!G1013/'[1]GWE data'!$I1013*100</f>
        <v>44.736455344451421</v>
      </c>
      <c r="H11" s="7">
        <f>'[1]GWE data'!H1013/'[1]GWE data'!$I1013*100</f>
        <v>2.2459149291141065</v>
      </c>
      <c r="K11" s="7"/>
    </row>
    <row r="12" spans="1:11" x14ac:dyDescent="0.35">
      <c r="A12" t="s">
        <v>10</v>
      </c>
      <c r="B12" s="7">
        <f>'[1]GWE data'!B1014/'[1]GWE data'!$I1014*100</f>
        <v>15.1170491942166</v>
      </c>
      <c r="C12" s="7">
        <f>'[1]GWE data'!C1014/'[1]GWE data'!$I1014*100</f>
        <v>5.0206546222887471</v>
      </c>
      <c r="D12" s="7">
        <f>'[1]GWE data'!D1014/'[1]GWE data'!$I1014*100</f>
        <v>15.638956777256391</v>
      </c>
      <c r="E12" s="7">
        <f>'[1]GWE data'!E1014/'[1]GWE data'!$I1014*100</f>
        <v>7.672901822188523</v>
      </c>
      <c r="F12" s="7">
        <f>'[1]GWE data'!F1014/'[1]GWE data'!$I1014*100</f>
        <v>2.8940808115190224</v>
      </c>
      <c r="G12" s="7">
        <f>'[1]GWE data'!G1014/'[1]GWE data'!$I1014*100</f>
        <v>50.531858455796787</v>
      </c>
      <c r="H12" s="7">
        <f>'[1]GWE data'!H1014/'[1]GWE data'!$I1014*100</f>
        <v>3.1244983167339311</v>
      </c>
      <c r="K12" s="7"/>
    </row>
    <row r="13" spans="1:11" x14ac:dyDescent="0.35">
      <c r="A13" t="s">
        <v>11</v>
      </c>
      <c r="B13" s="7">
        <f>'[1]GWE data'!B1015/'[1]GWE data'!$I1015*100</f>
        <v>23.351267049919404</v>
      </c>
      <c r="C13" s="7">
        <f>'[1]GWE data'!C1015/'[1]GWE data'!$I1015*100</f>
        <v>7.2803957836587996</v>
      </c>
      <c r="D13" s="7">
        <f>'[1]GWE data'!D1015/'[1]GWE data'!$I1015*100</f>
        <v>19.254094955412761</v>
      </c>
      <c r="E13" s="7">
        <f>'[1]GWE data'!E1015/'[1]GWE data'!$I1015*100</f>
        <v>5.6105970270524779</v>
      </c>
      <c r="F13" s="7">
        <f>'[1]GWE data'!F1015/'[1]GWE data'!$I1015*100</f>
        <v>1.9696110958497093</v>
      </c>
      <c r="G13" s="7">
        <f>'[1]GWE data'!G1015/'[1]GWE data'!$I1015*100</f>
        <v>36.670617645082842</v>
      </c>
      <c r="H13" s="7">
        <f>'[1]GWE data'!H1015/'[1]GWE data'!$I1015*100</f>
        <v>5.8634164430239961</v>
      </c>
      <c r="K13" s="7"/>
    </row>
    <row r="14" spans="1:11" x14ac:dyDescent="0.35">
      <c r="A14" t="s">
        <v>12</v>
      </c>
      <c r="B14" s="7">
        <f>'[1]GWE data'!B1020/'[1]GWE data'!$I$1020*100</f>
        <v>17.062962429302669</v>
      </c>
      <c r="C14" s="7">
        <f>'[1]GWE data'!C1020/'[1]GWE data'!$I$1020*100</f>
        <v>6.467439382758414</v>
      </c>
      <c r="D14" s="7">
        <f>'[1]GWE data'!D1020/'[1]GWE data'!$I$1020*100</f>
        <v>21.246746939951329</v>
      </c>
      <c r="E14" s="7">
        <f>'[1]GWE data'!E1020/'[1]GWE data'!$I$1020*100</f>
        <v>9.0437617903962604</v>
      </c>
      <c r="F14" s="7">
        <f>'[1]GWE data'!F1020/'[1]GWE data'!$I$1020*100</f>
        <v>3.3032814381085038</v>
      </c>
      <c r="G14" s="7">
        <f>'[1]GWE data'!G1020/'[1]GWE data'!$I$1020*100</f>
        <v>38.962685274680496</v>
      </c>
      <c r="H14" s="7">
        <f>'[1]GWE data'!H1020/'[1]GWE data'!$I$1020*100</f>
        <v>3.9131227448023256</v>
      </c>
      <c r="K14" s="7"/>
    </row>
    <row r="15" spans="1:11" x14ac:dyDescent="0.35">
      <c r="A15" s="8" t="s">
        <v>36</v>
      </c>
      <c r="B15" s="7"/>
      <c r="C15" s="7"/>
      <c r="D15" s="7"/>
      <c r="E15" s="7"/>
      <c r="F15" s="7"/>
      <c r="G15" s="7"/>
      <c r="H15" s="7"/>
      <c r="K15" s="7"/>
    </row>
    <row r="16" spans="1:11" x14ac:dyDescent="0.35">
      <c r="A16" t="s">
        <v>40</v>
      </c>
      <c r="B16" s="7">
        <v>13.557011829095803</v>
      </c>
      <c r="C16" s="7">
        <v>9.1368488414395053</v>
      </c>
      <c r="D16" s="7">
        <v>22.28780994326651</v>
      </c>
      <c r="E16" s="7">
        <v>7.3615930305651434</v>
      </c>
      <c r="F16" s="7">
        <v>2.973331666393273</v>
      </c>
      <c r="G16" s="7">
        <v>40.621999656689468</v>
      </c>
      <c r="H16" s="7">
        <v>4.0614050325502946</v>
      </c>
      <c r="K16" s="7"/>
    </row>
    <row r="17" spans="1:8" x14ac:dyDescent="0.35">
      <c r="A17" t="s">
        <v>37</v>
      </c>
      <c r="B17" s="7">
        <v>10.73</v>
      </c>
      <c r="C17" s="7">
        <v>9.2100000000000009</v>
      </c>
      <c r="D17" s="7">
        <v>22.74</v>
      </c>
      <c r="E17" s="7">
        <v>14.22</v>
      </c>
      <c r="F17" s="7">
        <v>3.07</v>
      </c>
      <c r="G17" s="7">
        <v>34.06</v>
      </c>
      <c r="H17" s="7">
        <v>5.97</v>
      </c>
    </row>
    <row r="18" spans="1:8" x14ac:dyDescent="0.35">
      <c r="A18" t="s">
        <v>38</v>
      </c>
      <c r="B18" s="7">
        <v>13.6</v>
      </c>
      <c r="C18" s="7">
        <v>8.34</v>
      </c>
      <c r="D18" s="7">
        <v>21.66</v>
      </c>
      <c r="E18" s="7">
        <v>15.97</v>
      </c>
      <c r="F18" s="7">
        <v>2.92</v>
      </c>
      <c r="G18" s="7">
        <v>31.92</v>
      </c>
      <c r="H18" s="7">
        <v>5.59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2026-01-21T17:52:51Z</dcterms:created>
  <dcterms:modified xsi:type="dcterms:W3CDTF">2026-02-13T15:42:51Z</dcterms:modified>
</cp:coreProperties>
</file>