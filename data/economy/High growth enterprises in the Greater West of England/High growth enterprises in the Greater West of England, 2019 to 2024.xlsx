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Economy - High growth enterprises\"/>
    </mc:Choice>
  </mc:AlternateContent>
  <xr:revisionPtr revIDLastSave="0" documentId="13_ncr:1_{C4D6BB1A-A654-4DC5-AD57-F05AEBDBE4AD}" xr6:coauthVersionLast="47" xr6:coauthVersionMax="47" xr10:uidLastSave="{00000000-0000-0000-0000-000000000000}"/>
  <bookViews>
    <workbookView xWindow="-110" yWindow="-110" windowWidth="19420" windowHeight="11500" activeTab="3" xr2:uid="{00000000-000D-0000-FFFF-FFFF00000000}"/>
  </bookViews>
  <sheets>
    <sheet name="Metadata" sheetId="5" r:id="rId1"/>
    <sheet name="analysis_data_1" sheetId="1" r:id="rId2"/>
    <sheet name="analysis_data_2" sheetId="2" r:id="rId3"/>
    <sheet name="analysis_data_3"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3" l="1"/>
  <c r="F14" i="3"/>
  <c r="E14" i="3"/>
</calcChain>
</file>

<file path=xl/sharedStrings.xml><?xml version="1.0" encoding="utf-8"?>
<sst xmlns="http://schemas.openxmlformats.org/spreadsheetml/2006/main" count="229" uniqueCount="65">
  <si>
    <t>geo_name</t>
  </si>
  <si>
    <t>geo_code</t>
  </si>
  <si>
    <t>year</t>
  </si>
  <si>
    <t>three_year_period</t>
  </si>
  <si>
    <t>high_growth_count</t>
  </si>
  <si>
    <t>active_10plus_count</t>
  </si>
  <si>
    <t>rate_pct</t>
  </si>
  <si>
    <t>ENGLAND</t>
  </si>
  <si>
    <t>E92000001</t>
  </si>
  <si>
    <t>2016 to 2019</t>
  </si>
  <si>
    <t>2017 to 2020</t>
  </si>
  <si>
    <t>2018 to 2021</t>
  </si>
  <si>
    <t>2019 to 2022</t>
  </si>
  <si>
    <t>2020 to 2023</t>
  </si>
  <si>
    <t>2021 to 2024</t>
  </si>
  <si>
    <t>England excluding London</t>
  </si>
  <si>
    <t>ENG_EXCL_LON</t>
  </si>
  <si>
    <t>Greater West of England</t>
  </si>
  <si>
    <t>GWE</t>
  </si>
  <si>
    <t>UNITED KINGDOM</t>
  </si>
  <si>
    <t>K02000001</t>
  </si>
  <si>
    <t>Cheltenham</t>
  </si>
  <si>
    <t>E07000078</t>
  </si>
  <si>
    <t>Tewkesbury</t>
  </si>
  <si>
    <t>E07000083</t>
  </si>
  <si>
    <t>Bristol City of</t>
  </si>
  <si>
    <t>E06000023</t>
  </si>
  <si>
    <t>Cotswold</t>
  </si>
  <si>
    <t>E07000079</t>
  </si>
  <si>
    <t>South Gloucestershire</t>
  </si>
  <si>
    <t>E06000025</t>
  </si>
  <si>
    <t>Stroud</t>
  </si>
  <si>
    <t>E07000082</t>
  </si>
  <si>
    <t>Forest of Dean</t>
  </si>
  <si>
    <t>E07000080</t>
  </si>
  <si>
    <t>Bath and North East Somerset</t>
  </si>
  <si>
    <t>E06000022</t>
  </si>
  <si>
    <t>Gloucester</t>
  </si>
  <si>
    <t>E07000081</t>
  </si>
  <si>
    <t>North Somerset</t>
  </si>
  <si>
    <t>E06000024</t>
  </si>
  <si>
    <t>Wiltshire</t>
  </si>
  <si>
    <t>E06000054</t>
  </si>
  <si>
    <t>Swindon</t>
  </si>
  <si>
    <t>E06000030</t>
  </si>
  <si>
    <t>Gloucestershire</t>
  </si>
  <si>
    <t xml:space="preserve">E10000013 </t>
  </si>
  <si>
    <t>Publisher</t>
  </si>
  <si>
    <t>Dataset</t>
  </si>
  <si>
    <t>Tables used</t>
  </si>
  <si>
    <t>Publication date</t>
  </si>
  <si>
    <t>Next update</t>
  </si>
  <si>
    <t>Link</t>
  </si>
  <si>
    <t>Created date</t>
  </si>
  <si>
    <t>Last updated</t>
  </si>
  <si>
    <t>Geography used for analysis</t>
  </si>
  <si>
    <t>Data information</t>
  </si>
  <si>
    <t>Office for National Statistics (ONS)</t>
  </si>
  <si>
    <t>Business demography, UK: 2024</t>
  </si>
  <si>
    <t>Table 7.1a to 7.1d – High growth enterprises by geography
Table 7.3a to 7.3d – Active enterprises (10 or more employees) by geography</t>
  </si>
  <si>
    <t>Greater West of England. This includes the following local authorities:
Bath and North East Somerset, Bristol, North Somerset, South Gloucestershire, Swindon, Wiltshire and Gloucestershire with it's lower tier districts Cheltenham, Cotswold, Forest of Dean, Gloucester, Stroud and Tewkesbury.
Comparisons are presented with England and England excluding London and United Kingdom.</t>
  </si>
  <si>
    <t>High growth enterprises are defined as enterprises with 10 or more employees at the start of a three-year period that achieve average annualised employment growth greater than 20% over that period.
The year shown represents the final year of the three-year growth period. For example, 2024 refers to growth between 2021 and 2024.
High growth counts are expressed both as totals and as a proportion of active enterprises with 10 or more employees.
Counts are subject to disclosure control and are rounded to base 5.</t>
  </si>
  <si>
    <t>https://www.ons.gov.uk/businessindustryandtrade/business/activitysizeandlocation/datasets/businessdemographyreferencetable</t>
  </si>
  <si>
    <t>TBA</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</si>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</sst>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amily val="2"/>
      <scheme val="minor"/>
    </font>
    <font>
      <b/>
      <sz val="11"/>
      <color theme="1"/>
      <name val="Calibri"/>
      <family val="2"/>
      <scheme val="minor"/>
    </font>
    <font>
      <u/>
      <sz val="11"/>
      <color theme="10"/>
      <name val="Calibri"/>
      <family val="2"/>
      <scheme val="minor"/>
    </font>
    <font>
      <sz val="11"/>
      <color theme="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xf numFmtId="0" fontId="4" fillId="0" borderId="0" applyNumberFormat="0" applyFill="0" applyBorder="0" applyAlignment="0" applyProtection="0"/>
  </cellStyleXfs>
  <cellXfs count="8">
    <xf numFmtId="0" fontId="0" fillId="0" borderId="0" xfId="0"/>
    <xf numFmtId="0" fontId="1" fillId="0" borderId="1" xfId="0" applyFont="1" applyBorder="1" applyAlignment="1">
      <alignment horizontal="center" vertical="top"/>
    </xf>
    <xf numFmtId="0" fontId="3" fillId="0" borderId="0" xfId="0" applyFont="1" applyAlignment="1">
      <alignment horizontal="left" wrapText="1"/>
    </xf>
    <xf numFmtId="0" fontId="0" fillId="0" borderId="0" xfId="0" applyAlignment="1">
      <alignment horizontal="left" wrapText="1"/>
    </xf>
    <xf numFmtId="14" fontId="0" fillId="0" borderId="0" xfId="0" applyNumberFormat="1" applyAlignment="1">
      <alignment horizontal="left"/>
    </xf>
    <xf numFmtId="0" fontId="4" fillId="0" borderId="0" xfId="2" applyAlignment="1">
      <alignment horizontal="left" wrapText="1"/>
    </xf>
    <xf numFmtId="15" fontId="0" fillId="0" borderId="0" xfId="0" applyNumberFormat="1" applyAlignment="1">
      <alignment horizontal="left" wrapText="1"/>
    </xf>
    <xf numFmtId="0" fontId="5" fillId="0" borderId="0" xfId="0" applyFont="1"/>
  </cellXfs>
  <cellStyles count="3">
    <cellStyle name="Hyperlink" xfId="2" builtinId="8"/>
    <cellStyle name="Normal" xfId="0" builtinId="0"/>
    <cellStyle name="Normal 4 2 2 2 2" xfId="1" xr:uid="{DE5417F3-1C77-43DF-8E68-22800409103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businessindustryandtrade/business/activitysizeandlocation/datasets/businessdemographyreference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BCB13-DCDB-4C5C-B701-0707ABC550B0}">
  <dimension ref="A1:B10"/>
  <sheetViews>
    <sheetView topLeftCell="A2" workbookViewId="0">
      <selection activeCell="B10" sqref="B10"/>
    </sheetView>
  </sheetViews>
  <sheetFormatPr defaultRowHeight="14.5" x14ac:dyDescent="0.35"/>
  <cols>
    <col min="1" max="1" width="25.08984375" style="3" bestFit="1" customWidth="1"/>
    <col min="2" max="2" width="91.08984375" style="3" customWidth="1"/>
  </cols>
  <sheetData>
    <row r="1" spans="1:2" x14ac:dyDescent="0.35">
      <c r="A1" s="2" t="s">
        <v>47</v>
      </c>
      <c r="B1" s="3" t="s">
        <v>57</v>
      </c>
    </row>
    <row r="2" spans="1:2" x14ac:dyDescent="0.35">
      <c r="A2" s="2" t="s">
        <v>48</v>
      </c>
      <c r="B2" s="3" t="s">
        <v>58</v>
      </c>
    </row>
    <row r="3" spans="1:2" ht="29" x14ac:dyDescent="0.35">
      <c r="A3" s="2" t="s">
        <v>49</v>
      </c>
      <c r="B3" s="3" t="s">
        <v>59</v>
      </c>
    </row>
    <row r="4" spans="1:2" x14ac:dyDescent="0.35">
      <c r="A4" s="2" t="s">
        <v>50</v>
      </c>
      <c r="B4" s="6">
        <v>45981</v>
      </c>
    </row>
    <row r="5" spans="1:2" x14ac:dyDescent="0.35">
      <c r="A5" s="2" t="s">
        <v>51</v>
      </c>
      <c r="B5" s="3" t="s">
        <v>63</v>
      </c>
    </row>
    <row r="6" spans="1:2" ht="29" x14ac:dyDescent="0.35">
      <c r="A6" s="2" t="s">
        <v>52</v>
      </c>
      <c r="B6" s="5" t="s">
        <v>62</v>
      </c>
    </row>
    <row r="7" spans="1:2" x14ac:dyDescent="0.35">
      <c r="A7" s="2" t="s">
        <v>53</v>
      </c>
      <c r="B7" s="4">
        <v>46072</v>
      </c>
    </row>
    <row r="8" spans="1:2" x14ac:dyDescent="0.35">
      <c r="A8" s="2" t="s">
        <v>54</v>
      </c>
      <c r="B8" s="4">
        <v>46072</v>
      </c>
    </row>
    <row r="9" spans="1:2" ht="87" x14ac:dyDescent="0.35">
      <c r="A9" s="2" t="s">
        <v>55</v>
      </c>
      <c r="B9" s="3" t="s">
        <v>60</v>
      </c>
    </row>
    <row r="10" spans="1:2" ht="145" x14ac:dyDescent="0.35">
      <c r="A10" s="2" t="s">
        <v>56</v>
      </c>
      <c r="B10" s="3" t="s">
        <v>61</v>
      </c>
    </row>
  </sheetData>
  <hyperlinks>
    <hyperlink ref="B6" r:id="rId1" xr:uid="{4DB3872C-92F4-4D0A-A451-36C19500C11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workbookViewId="0">
      <selection activeCell="G19" sqref="G19"/>
    </sheetView>
  </sheetViews>
  <sheetFormatPr defaultRowHeight="14.5" x14ac:dyDescent="0.35"/>
  <cols>
    <col min="1" max="1" width="22.7265625" bestFit="1" customWidth="1"/>
    <col min="2" max="2" width="13.81640625" bestFit="1" customWidth="1"/>
    <col min="4" max="4" width="16.54296875" bestFit="1" customWidth="1"/>
    <col min="5" max="5" width="17.36328125" bestFit="1" customWidth="1"/>
    <col min="6" max="6" width="18.1796875" bestFit="1" customWidth="1"/>
  </cols>
  <sheetData>
    <row r="1" spans="1:7" x14ac:dyDescent="0.35">
      <c r="A1" s="1" t="s">
        <v>0</v>
      </c>
      <c r="B1" s="1" t="s">
        <v>1</v>
      </c>
      <c r="C1" s="1" t="s">
        <v>2</v>
      </c>
      <c r="D1" s="1" t="s">
        <v>3</v>
      </c>
      <c r="E1" s="1" t="s">
        <v>4</v>
      </c>
      <c r="F1" s="1" t="s">
        <v>5</v>
      </c>
      <c r="G1" s="1" t="s">
        <v>6</v>
      </c>
    </row>
    <row r="2" spans="1:7" x14ac:dyDescent="0.35">
      <c r="A2" t="s">
        <v>7</v>
      </c>
      <c r="B2" t="s">
        <v>8</v>
      </c>
      <c r="C2">
        <v>2019</v>
      </c>
      <c r="D2" t="s">
        <v>9</v>
      </c>
      <c r="E2">
        <v>11035</v>
      </c>
      <c r="F2">
        <v>242215</v>
      </c>
      <c r="G2">
        <v>4.5558697851082712</v>
      </c>
    </row>
    <row r="3" spans="1:7" x14ac:dyDescent="0.35">
      <c r="A3" t="s">
        <v>7</v>
      </c>
      <c r="B3" t="s">
        <v>8</v>
      </c>
      <c r="C3">
        <v>2020</v>
      </c>
      <c r="D3" t="s">
        <v>10</v>
      </c>
      <c r="E3">
        <v>10575</v>
      </c>
      <c r="F3">
        <v>238390</v>
      </c>
      <c r="G3">
        <v>4.4360082218213854</v>
      </c>
    </row>
    <row r="4" spans="1:7" x14ac:dyDescent="0.35">
      <c r="A4" t="s">
        <v>7</v>
      </c>
      <c r="B4" t="s">
        <v>8</v>
      </c>
      <c r="C4">
        <v>2021</v>
      </c>
      <c r="D4" t="s">
        <v>11</v>
      </c>
      <c r="E4">
        <v>9505</v>
      </c>
      <c r="F4">
        <v>243455</v>
      </c>
      <c r="G4">
        <v>3.904212277422932</v>
      </c>
    </row>
    <row r="5" spans="1:7" x14ac:dyDescent="0.35">
      <c r="A5" t="s">
        <v>7</v>
      </c>
      <c r="B5" t="s">
        <v>8</v>
      </c>
      <c r="C5">
        <v>2022</v>
      </c>
      <c r="D5" t="s">
        <v>12</v>
      </c>
      <c r="E5">
        <v>10190</v>
      </c>
      <c r="F5">
        <v>251495</v>
      </c>
      <c r="G5">
        <v>4.0517704129306749</v>
      </c>
    </row>
    <row r="6" spans="1:7" x14ac:dyDescent="0.35">
      <c r="A6" t="s">
        <v>7</v>
      </c>
      <c r="B6" t="s">
        <v>8</v>
      </c>
      <c r="C6">
        <v>2023</v>
      </c>
      <c r="D6" t="s">
        <v>13</v>
      </c>
      <c r="E6">
        <v>12225</v>
      </c>
      <c r="F6">
        <v>251780</v>
      </c>
      <c r="G6">
        <v>4.8554293430772892</v>
      </c>
    </row>
    <row r="7" spans="1:7" x14ac:dyDescent="0.35">
      <c r="A7" t="s">
        <v>7</v>
      </c>
      <c r="B7" t="s">
        <v>8</v>
      </c>
      <c r="C7">
        <v>2024</v>
      </c>
      <c r="D7" t="s">
        <v>14</v>
      </c>
      <c r="E7">
        <v>12720</v>
      </c>
      <c r="F7">
        <v>252485</v>
      </c>
      <c r="G7">
        <v>5.0379230449333621</v>
      </c>
    </row>
    <row r="8" spans="1:7" x14ac:dyDescent="0.35">
      <c r="A8" t="s">
        <v>15</v>
      </c>
      <c r="B8" t="s">
        <v>16</v>
      </c>
      <c r="C8">
        <v>2019</v>
      </c>
      <c r="D8" t="s">
        <v>9</v>
      </c>
      <c r="E8">
        <v>8370</v>
      </c>
      <c r="F8">
        <v>193150</v>
      </c>
      <c r="G8">
        <v>4.3334196220553984</v>
      </c>
    </row>
    <row r="9" spans="1:7" x14ac:dyDescent="0.35">
      <c r="A9" t="s">
        <v>15</v>
      </c>
      <c r="B9" t="s">
        <v>16</v>
      </c>
      <c r="C9">
        <v>2020</v>
      </c>
      <c r="D9" t="s">
        <v>10</v>
      </c>
      <c r="E9">
        <v>7895</v>
      </c>
      <c r="F9">
        <v>189735</v>
      </c>
      <c r="G9">
        <v>4.1610667509948076</v>
      </c>
    </row>
    <row r="10" spans="1:7" x14ac:dyDescent="0.35">
      <c r="A10" t="s">
        <v>15</v>
      </c>
      <c r="B10" t="s">
        <v>16</v>
      </c>
      <c r="C10">
        <v>2021</v>
      </c>
      <c r="D10" t="s">
        <v>11</v>
      </c>
      <c r="E10">
        <v>7055</v>
      </c>
      <c r="F10">
        <v>193850</v>
      </c>
      <c r="G10">
        <v>3.639411916430229</v>
      </c>
    </row>
    <row r="11" spans="1:7" x14ac:dyDescent="0.35">
      <c r="A11" t="s">
        <v>15</v>
      </c>
      <c r="B11" t="s">
        <v>16</v>
      </c>
      <c r="C11">
        <v>2022</v>
      </c>
      <c r="D11" t="s">
        <v>12</v>
      </c>
      <c r="E11">
        <v>7480</v>
      </c>
      <c r="F11">
        <v>200155</v>
      </c>
      <c r="G11">
        <v>3.7371037445979369</v>
      </c>
    </row>
    <row r="12" spans="1:7" x14ac:dyDescent="0.35">
      <c r="A12" t="s">
        <v>15</v>
      </c>
      <c r="B12" t="s">
        <v>16</v>
      </c>
      <c r="C12">
        <v>2023</v>
      </c>
      <c r="D12" t="s">
        <v>13</v>
      </c>
      <c r="E12">
        <v>8920</v>
      </c>
      <c r="F12">
        <v>199315</v>
      </c>
      <c r="G12">
        <v>4.4753279983944996</v>
      </c>
    </row>
    <row r="13" spans="1:7" x14ac:dyDescent="0.35">
      <c r="A13" t="s">
        <v>15</v>
      </c>
      <c r="B13" t="s">
        <v>16</v>
      </c>
      <c r="C13">
        <v>2024</v>
      </c>
      <c r="D13" t="s">
        <v>14</v>
      </c>
      <c r="E13">
        <v>9180</v>
      </c>
      <c r="F13">
        <v>198865</v>
      </c>
      <c r="G13">
        <v>4.6161969175068513</v>
      </c>
    </row>
    <row r="14" spans="1:7" x14ac:dyDescent="0.35">
      <c r="A14" t="s">
        <v>17</v>
      </c>
      <c r="B14" t="s">
        <v>18</v>
      </c>
      <c r="C14">
        <v>2019</v>
      </c>
      <c r="D14" t="s">
        <v>9</v>
      </c>
      <c r="E14">
        <v>495</v>
      </c>
      <c r="F14">
        <v>11100</v>
      </c>
      <c r="G14">
        <v>4.4594594594594597</v>
      </c>
    </row>
    <row r="15" spans="1:7" x14ac:dyDescent="0.35">
      <c r="A15" t="s">
        <v>17</v>
      </c>
      <c r="B15" t="s">
        <v>18</v>
      </c>
      <c r="C15">
        <v>2020</v>
      </c>
      <c r="D15" t="s">
        <v>10</v>
      </c>
      <c r="E15">
        <v>490</v>
      </c>
      <c r="F15">
        <v>10880</v>
      </c>
      <c r="G15">
        <v>4.5036764705882364</v>
      </c>
    </row>
    <row r="16" spans="1:7" x14ac:dyDescent="0.35">
      <c r="A16" t="s">
        <v>17</v>
      </c>
      <c r="B16" t="s">
        <v>18</v>
      </c>
      <c r="C16">
        <v>2021</v>
      </c>
      <c r="D16" t="s">
        <v>11</v>
      </c>
      <c r="E16">
        <v>470</v>
      </c>
      <c r="F16">
        <v>11095</v>
      </c>
      <c r="G16">
        <v>4.2361424064894102</v>
      </c>
    </row>
    <row r="17" spans="1:7" x14ac:dyDescent="0.35">
      <c r="A17" t="s">
        <v>17</v>
      </c>
      <c r="B17" t="s">
        <v>18</v>
      </c>
      <c r="C17">
        <v>2022</v>
      </c>
      <c r="D17" t="s">
        <v>12</v>
      </c>
      <c r="E17">
        <v>470</v>
      </c>
      <c r="F17">
        <v>11510</v>
      </c>
      <c r="G17">
        <v>4.0834057341442218</v>
      </c>
    </row>
    <row r="18" spans="1:7" x14ac:dyDescent="0.35">
      <c r="A18" t="s">
        <v>17</v>
      </c>
      <c r="B18" t="s">
        <v>18</v>
      </c>
      <c r="C18">
        <v>2023</v>
      </c>
      <c r="D18" t="s">
        <v>13</v>
      </c>
      <c r="E18">
        <v>590</v>
      </c>
      <c r="F18">
        <v>11485</v>
      </c>
      <c r="G18">
        <v>5.1371353939921631</v>
      </c>
    </row>
    <row r="19" spans="1:7" x14ac:dyDescent="0.35">
      <c r="A19" t="s">
        <v>17</v>
      </c>
      <c r="B19" t="s">
        <v>18</v>
      </c>
      <c r="C19">
        <v>2024</v>
      </c>
      <c r="D19" t="s">
        <v>14</v>
      </c>
      <c r="E19">
        <v>595</v>
      </c>
      <c r="F19">
        <v>11420</v>
      </c>
      <c r="G19">
        <v>5.2101576182136604</v>
      </c>
    </row>
    <row r="20" spans="1:7" x14ac:dyDescent="0.35">
      <c r="A20" t="s">
        <v>19</v>
      </c>
      <c r="B20" t="s">
        <v>20</v>
      </c>
      <c r="C20">
        <v>2019</v>
      </c>
      <c r="D20" t="s">
        <v>9</v>
      </c>
      <c r="E20">
        <v>12560</v>
      </c>
      <c r="F20">
        <v>281175</v>
      </c>
      <c r="G20">
        <v>4.4669689695029779</v>
      </c>
    </row>
    <row r="21" spans="1:7" x14ac:dyDescent="0.35">
      <c r="A21" t="s">
        <v>19</v>
      </c>
      <c r="B21" t="s">
        <v>20</v>
      </c>
      <c r="C21">
        <v>2020</v>
      </c>
      <c r="D21" t="s">
        <v>10</v>
      </c>
      <c r="E21">
        <v>12045</v>
      </c>
      <c r="F21">
        <v>276550</v>
      </c>
      <c r="G21">
        <v>4.3554510938347493</v>
      </c>
    </row>
    <row r="22" spans="1:7" x14ac:dyDescent="0.35">
      <c r="A22" t="s">
        <v>19</v>
      </c>
      <c r="B22" t="s">
        <v>20</v>
      </c>
      <c r="C22">
        <v>2021</v>
      </c>
      <c r="D22" t="s">
        <v>11</v>
      </c>
      <c r="E22">
        <v>10695</v>
      </c>
      <c r="F22">
        <v>281975</v>
      </c>
      <c r="G22">
        <v>3.7928894405532398</v>
      </c>
    </row>
    <row r="23" spans="1:7" x14ac:dyDescent="0.35">
      <c r="A23" t="s">
        <v>19</v>
      </c>
      <c r="B23" t="s">
        <v>20</v>
      </c>
      <c r="C23">
        <v>2022</v>
      </c>
      <c r="D23" t="s">
        <v>12</v>
      </c>
      <c r="E23">
        <v>11485</v>
      </c>
      <c r="F23">
        <v>291115</v>
      </c>
      <c r="G23">
        <v>3.9451763048966901</v>
      </c>
    </row>
    <row r="24" spans="1:7" x14ac:dyDescent="0.35">
      <c r="A24" t="s">
        <v>19</v>
      </c>
      <c r="B24" t="s">
        <v>20</v>
      </c>
      <c r="C24">
        <v>2023</v>
      </c>
      <c r="D24" t="s">
        <v>13</v>
      </c>
      <c r="E24">
        <v>13750</v>
      </c>
      <c r="F24">
        <v>291490</v>
      </c>
      <c r="G24">
        <v>4.7171429551614121</v>
      </c>
    </row>
    <row r="25" spans="1:7" x14ac:dyDescent="0.35">
      <c r="A25" t="s">
        <v>19</v>
      </c>
      <c r="B25" t="s">
        <v>20</v>
      </c>
      <c r="C25">
        <v>2024</v>
      </c>
      <c r="D25" t="s">
        <v>14</v>
      </c>
      <c r="E25">
        <v>14330</v>
      </c>
      <c r="F25">
        <v>292125</v>
      </c>
      <c r="G25">
        <v>4.9054343175010704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
  <sheetViews>
    <sheetView workbookViewId="0"/>
  </sheetViews>
  <sheetFormatPr defaultRowHeight="14.5" x14ac:dyDescent="0.35"/>
  <cols>
    <col min="1" max="1" width="22.7265625" bestFit="1" customWidth="1"/>
    <col min="2" max="2" width="13.81640625" bestFit="1" customWidth="1"/>
    <col min="3" max="3" width="4.81640625" bestFit="1" customWidth="1"/>
    <col min="4" max="4" width="16.54296875" bestFit="1" customWidth="1"/>
  </cols>
  <sheetData>
    <row r="1" spans="1:5" x14ac:dyDescent="0.35">
      <c r="A1" s="1" t="s">
        <v>0</v>
      </c>
      <c r="B1" s="1" t="s">
        <v>1</v>
      </c>
      <c r="C1" s="1" t="s">
        <v>2</v>
      </c>
      <c r="D1" s="1" t="s">
        <v>3</v>
      </c>
      <c r="E1" s="1" t="s">
        <v>4</v>
      </c>
    </row>
    <row r="2" spans="1:5" x14ac:dyDescent="0.35">
      <c r="A2" t="s">
        <v>7</v>
      </c>
      <c r="B2" t="s">
        <v>8</v>
      </c>
      <c r="C2">
        <v>2019</v>
      </c>
      <c r="D2" t="s">
        <v>9</v>
      </c>
      <c r="E2">
        <v>11035</v>
      </c>
    </row>
    <row r="3" spans="1:5" x14ac:dyDescent="0.35">
      <c r="A3" t="s">
        <v>7</v>
      </c>
      <c r="B3" t="s">
        <v>8</v>
      </c>
      <c r="C3">
        <v>2020</v>
      </c>
      <c r="D3" t="s">
        <v>10</v>
      </c>
      <c r="E3">
        <v>10575</v>
      </c>
    </row>
    <row r="4" spans="1:5" x14ac:dyDescent="0.35">
      <c r="A4" t="s">
        <v>7</v>
      </c>
      <c r="B4" t="s">
        <v>8</v>
      </c>
      <c r="C4">
        <v>2021</v>
      </c>
      <c r="D4" t="s">
        <v>11</v>
      </c>
      <c r="E4">
        <v>9505</v>
      </c>
    </row>
    <row r="5" spans="1:5" x14ac:dyDescent="0.35">
      <c r="A5" t="s">
        <v>7</v>
      </c>
      <c r="B5" t="s">
        <v>8</v>
      </c>
      <c r="C5">
        <v>2022</v>
      </c>
      <c r="D5" t="s">
        <v>12</v>
      </c>
      <c r="E5">
        <v>10190</v>
      </c>
    </row>
    <row r="6" spans="1:5" x14ac:dyDescent="0.35">
      <c r="A6" t="s">
        <v>7</v>
      </c>
      <c r="B6" t="s">
        <v>8</v>
      </c>
      <c r="C6">
        <v>2023</v>
      </c>
      <c r="D6" t="s">
        <v>13</v>
      </c>
      <c r="E6">
        <v>12225</v>
      </c>
    </row>
    <row r="7" spans="1:5" x14ac:dyDescent="0.35">
      <c r="A7" t="s">
        <v>7</v>
      </c>
      <c r="B7" t="s">
        <v>8</v>
      </c>
      <c r="C7">
        <v>2024</v>
      </c>
      <c r="D7" t="s">
        <v>14</v>
      </c>
      <c r="E7">
        <v>12720</v>
      </c>
    </row>
    <row r="8" spans="1:5" x14ac:dyDescent="0.35">
      <c r="A8" t="s">
        <v>15</v>
      </c>
      <c r="B8" t="s">
        <v>16</v>
      </c>
      <c r="C8">
        <v>2019</v>
      </c>
      <c r="D8" t="s">
        <v>9</v>
      </c>
      <c r="E8">
        <v>8370</v>
      </c>
    </row>
    <row r="9" spans="1:5" x14ac:dyDescent="0.35">
      <c r="A9" t="s">
        <v>15</v>
      </c>
      <c r="B9" t="s">
        <v>16</v>
      </c>
      <c r="C9">
        <v>2020</v>
      </c>
      <c r="D9" t="s">
        <v>10</v>
      </c>
      <c r="E9">
        <v>7895</v>
      </c>
    </row>
    <row r="10" spans="1:5" x14ac:dyDescent="0.35">
      <c r="A10" t="s">
        <v>15</v>
      </c>
      <c r="B10" t="s">
        <v>16</v>
      </c>
      <c r="C10">
        <v>2021</v>
      </c>
      <c r="D10" t="s">
        <v>11</v>
      </c>
      <c r="E10">
        <v>7055</v>
      </c>
    </row>
    <row r="11" spans="1:5" x14ac:dyDescent="0.35">
      <c r="A11" t="s">
        <v>15</v>
      </c>
      <c r="B11" t="s">
        <v>16</v>
      </c>
      <c r="C11">
        <v>2022</v>
      </c>
      <c r="D11" t="s">
        <v>12</v>
      </c>
      <c r="E11">
        <v>7480</v>
      </c>
    </row>
    <row r="12" spans="1:5" x14ac:dyDescent="0.35">
      <c r="A12" t="s">
        <v>15</v>
      </c>
      <c r="B12" t="s">
        <v>16</v>
      </c>
      <c r="C12">
        <v>2023</v>
      </c>
      <c r="D12" t="s">
        <v>13</v>
      </c>
      <c r="E12">
        <v>8920</v>
      </c>
    </row>
    <row r="13" spans="1:5" x14ac:dyDescent="0.35">
      <c r="A13" t="s">
        <v>15</v>
      </c>
      <c r="B13" t="s">
        <v>16</v>
      </c>
      <c r="C13">
        <v>2024</v>
      </c>
      <c r="D13" t="s">
        <v>14</v>
      </c>
      <c r="E13">
        <v>9180</v>
      </c>
    </row>
    <row r="14" spans="1:5" x14ac:dyDescent="0.35">
      <c r="A14" t="s">
        <v>17</v>
      </c>
      <c r="B14" t="s">
        <v>18</v>
      </c>
      <c r="C14">
        <v>2019</v>
      </c>
      <c r="D14" t="s">
        <v>9</v>
      </c>
      <c r="E14">
        <v>495</v>
      </c>
    </row>
    <row r="15" spans="1:5" x14ac:dyDescent="0.35">
      <c r="A15" t="s">
        <v>17</v>
      </c>
      <c r="B15" t="s">
        <v>18</v>
      </c>
      <c r="C15">
        <v>2020</v>
      </c>
      <c r="D15" t="s">
        <v>10</v>
      </c>
      <c r="E15">
        <v>490</v>
      </c>
    </row>
    <row r="16" spans="1:5" x14ac:dyDescent="0.35">
      <c r="A16" t="s">
        <v>17</v>
      </c>
      <c r="B16" t="s">
        <v>18</v>
      </c>
      <c r="C16">
        <v>2021</v>
      </c>
      <c r="D16" t="s">
        <v>11</v>
      </c>
      <c r="E16">
        <v>470</v>
      </c>
    </row>
    <row r="17" spans="1:5" x14ac:dyDescent="0.35">
      <c r="A17" t="s">
        <v>17</v>
      </c>
      <c r="B17" t="s">
        <v>18</v>
      </c>
      <c r="C17">
        <v>2022</v>
      </c>
      <c r="D17" t="s">
        <v>12</v>
      </c>
      <c r="E17">
        <v>470</v>
      </c>
    </row>
    <row r="18" spans="1:5" x14ac:dyDescent="0.35">
      <c r="A18" t="s">
        <v>17</v>
      </c>
      <c r="B18" t="s">
        <v>18</v>
      </c>
      <c r="C18">
        <v>2023</v>
      </c>
      <c r="D18" t="s">
        <v>13</v>
      </c>
      <c r="E18">
        <v>590</v>
      </c>
    </row>
    <row r="19" spans="1:5" x14ac:dyDescent="0.35">
      <c r="A19" t="s">
        <v>17</v>
      </c>
      <c r="B19" t="s">
        <v>18</v>
      </c>
      <c r="C19">
        <v>2024</v>
      </c>
      <c r="D19" t="s">
        <v>14</v>
      </c>
      <c r="E19">
        <v>595</v>
      </c>
    </row>
    <row r="20" spans="1:5" x14ac:dyDescent="0.35">
      <c r="A20" t="s">
        <v>19</v>
      </c>
      <c r="B20" t="s">
        <v>20</v>
      </c>
      <c r="C20">
        <v>2019</v>
      </c>
      <c r="D20" t="s">
        <v>9</v>
      </c>
      <c r="E20">
        <v>12560</v>
      </c>
    </row>
    <row r="21" spans="1:5" x14ac:dyDescent="0.35">
      <c r="A21" t="s">
        <v>19</v>
      </c>
      <c r="B21" t="s">
        <v>20</v>
      </c>
      <c r="C21">
        <v>2020</v>
      </c>
      <c r="D21" t="s">
        <v>10</v>
      </c>
      <c r="E21">
        <v>12045</v>
      </c>
    </row>
    <row r="22" spans="1:5" x14ac:dyDescent="0.35">
      <c r="A22" t="s">
        <v>19</v>
      </c>
      <c r="B22" t="s">
        <v>20</v>
      </c>
      <c r="C22">
        <v>2021</v>
      </c>
      <c r="D22" t="s">
        <v>11</v>
      </c>
      <c r="E22">
        <v>10695</v>
      </c>
    </row>
    <row r="23" spans="1:5" x14ac:dyDescent="0.35">
      <c r="A23" t="s">
        <v>19</v>
      </c>
      <c r="B23" t="s">
        <v>20</v>
      </c>
      <c r="C23">
        <v>2022</v>
      </c>
      <c r="D23" t="s">
        <v>12</v>
      </c>
      <c r="E23">
        <v>11485</v>
      </c>
    </row>
    <row r="24" spans="1:5" x14ac:dyDescent="0.35">
      <c r="A24" t="s">
        <v>19</v>
      </c>
      <c r="B24" t="s">
        <v>20</v>
      </c>
      <c r="C24">
        <v>2023</v>
      </c>
      <c r="D24" t="s">
        <v>13</v>
      </c>
      <c r="E24">
        <v>13750</v>
      </c>
    </row>
    <row r="25" spans="1:5" x14ac:dyDescent="0.35">
      <c r="A25" t="s">
        <v>19</v>
      </c>
      <c r="B25" t="s">
        <v>20</v>
      </c>
      <c r="C25">
        <v>2024</v>
      </c>
      <c r="D25" t="s">
        <v>14</v>
      </c>
      <c r="E25">
        <v>14330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abSelected="1" workbookViewId="0">
      <selection activeCell="A18" sqref="A18"/>
    </sheetView>
  </sheetViews>
  <sheetFormatPr defaultRowHeight="14.5" x14ac:dyDescent="0.35"/>
  <cols>
    <col min="1" max="1" width="26.08984375" bestFit="1" customWidth="1"/>
    <col min="2" max="2" width="13.81640625" bestFit="1" customWidth="1"/>
    <col min="4" max="4" width="17" bestFit="1" customWidth="1"/>
    <col min="6" max="6" width="18.1796875" bestFit="1" customWidth="1"/>
    <col min="7" max="7" width="11.81640625" bestFit="1" customWidth="1"/>
  </cols>
  <sheetData>
    <row r="1" spans="1:7" x14ac:dyDescent="0.35">
      <c r="A1" s="1" t="s">
        <v>0</v>
      </c>
      <c r="B1" s="1" t="s">
        <v>1</v>
      </c>
      <c r="C1" s="1" t="s">
        <v>2</v>
      </c>
      <c r="D1" s="1" t="s">
        <v>3</v>
      </c>
      <c r="E1" s="1" t="s">
        <v>4</v>
      </c>
      <c r="F1" s="1" t="s">
        <v>5</v>
      </c>
      <c r="G1" s="1" t="s">
        <v>6</v>
      </c>
    </row>
    <row r="2" spans="1:7" x14ac:dyDescent="0.35">
      <c r="A2" t="s">
        <v>21</v>
      </c>
      <c r="B2" t="s">
        <v>22</v>
      </c>
      <c r="C2">
        <v>2024</v>
      </c>
      <c r="D2" t="s">
        <v>14</v>
      </c>
      <c r="E2">
        <v>45</v>
      </c>
      <c r="F2">
        <v>620</v>
      </c>
      <c r="G2">
        <v>7.2580645161290329</v>
      </c>
    </row>
    <row r="3" spans="1:7" x14ac:dyDescent="0.35">
      <c r="A3" t="s">
        <v>23</v>
      </c>
      <c r="B3" t="s">
        <v>24</v>
      </c>
      <c r="C3">
        <v>2024</v>
      </c>
      <c r="D3" t="s">
        <v>14</v>
      </c>
      <c r="E3">
        <v>35</v>
      </c>
      <c r="F3">
        <v>500</v>
      </c>
      <c r="G3">
        <v>7.0000000000000009</v>
      </c>
    </row>
    <row r="4" spans="1:7" x14ac:dyDescent="0.35">
      <c r="A4" t="s">
        <v>25</v>
      </c>
      <c r="B4" t="s">
        <v>26</v>
      </c>
      <c r="C4">
        <v>2024</v>
      </c>
      <c r="D4" t="s">
        <v>14</v>
      </c>
      <c r="E4">
        <v>155</v>
      </c>
      <c r="F4">
        <v>2450</v>
      </c>
      <c r="G4">
        <v>6.3265306122448974</v>
      </c>
    </row>
    <row r="5" spans="1:7" x14ac:dyDescent="0.35">
      <c r="A5" t="s">
        <v>27</v>
      </c>
      <c r="B5" t="s">
        <v>28</v>
      </c>
      <c r="C5">
        <v>2024</v>
      </c>
      <c r="D5" t="s">
        <v>14</v>
      </c>
      <c r="E5">
        <v>35</v>
      </c>
      <c r="F5">
        <v>600</v>
      </c>
      <c r="G5">
        <v>5.833333333333333</v>
      </c>
    </row>
    <row r="6" spans="1:7" x14ac:dyDescent="0.35">
      <c r="A6" t="s">
        <v>29</v>
      </c>
      <c r="B6" t="s">
        <v>30</v>
      </c>
      <c r="C6">
        <v>2024</v>
      </c>
      <c r="D6" t="s">
        <v>14</v>
      </c>
      <c r="E6">
        <v>60</v>
      </c>
      <c r="F6">
        <v>1135</v>
      </c>
      <c r="G6">
        <v>5.286343612334802</v>
      </c>
    </row>
    <row r="7" spans="1:7" x14ac:dyDescent="0.35">
      <c r="A7" t="s">
        <v>31</v>
      </c>
      <c r="B7" t="s">
        <v>32</v>
      </c>
      <c r="C7">
        <v>2024</v>
      </c>
      <c r="D7" t="s">
        <v>14</v>
      </c>
      <c r="E7">
        <v>30</v>
      </c>
      <c r="F7">
        <v>610</v>
      </c>
      <c r="G7">
        <v>4.918032786885246</v>
      </c>
    </row>
    <row r="8" spans="1:7" x14ac:dyDescent="0.35">
      <c r="A8" t="s">
        <v>33</v>
      </c>
      <c r="B8" t="s">
        <v>34</v>
      </c>
      <c r="C8">
        <v>2024</v>
      </c>
      <c r="D8" t="s">
        <v>14</v>
      </c>
      <c r="E8">
        <v>15</v>
      </c>
      <c r="F8">
        <v>315</v>
      </c>
      <c r="G8">
        <v>4.7619047619047619</v>
      </c>
    </row>
    <row r="9" spans="1:7" x14ac:dyDescent="0.35">
      <c r="A9" t="s">
        <v>35</v>
      </c>
      <c r="B9" t="s">
        <v>36</v>
      </c>
      <c r="C9">
        <v>2024</v>
      </c>
      <c r="D9" t="s">
        <v>14</v>
      </c>
      <c r="E9">
        <v>45</v>
      </c>
      <c r="F9">
        <v>960</v>
      </c>
      <c r="G9">
        <v>4.6875</v>
      </c>
    </row>
    <row r="10" spans="1:7" x14ac:dyDescent="0.35">
      <c r="A10" t="s">
        <v>37</v>
      </c>
      <c r="B10" t="s">
        <v>38</v>
      </c>
      <c r="C10">
        <v>2024</v>
      </c>
      <c r="D10" t="s">
        <v>14</v>
      </c>
      <c r="E10">
        <v>25</v>
      </c>
      <c r="F10">
        <v>550</v>
      </c>
      <c r="G10">
        <v>4.5454545454545459</v>
      </c>
    </row>
    <row r="11" spans="1:7" x14ac:dyDescent="0.35">
      <c r="A11" t="s">
        <v>39</v>
      </c>
      <c r="B11" t="s">
        <v>40</v>
      </c>
      <c r="C11">
        <v>2024</v>
      </c>
      <c r="D11" t="s">
        <v>14</v>
      </c>
      <c r="E11">
        <v>40</v>
      </c>
      <c r="F11">
        <v>910</v>
      </c>
      <c r="G11">
        <v>4.395604395604396</v>
      </c>
    </row>
    <row r="12" spans="1:7" x14ac:dyDescent="0.35">
      <c r="A12" t="s">
        <v>41</v>
      </c>
      <c r="B12" t="s">
        <v>42</v>
      </c>
      <c r="C12">
        <v>2024</v>
      </c>
      <c r="D12" t="s">
        <v>14</v>
      </c>
      <c r="E12">
        <v>85</v>
      </c>
      <c r="F12">
        <v>2070</v>
      </c>
      <c r="G12">
        <v>4.1062801932367146</v>
      </c>
    </row>
    <row r="13" spans="1:7" x14ac:dyDescent="0.35">
      <c r="A13" t="s">
        <v>43</v>
      </c>
      <c r="B13" t="s">
        <v>44</v>
      </c>
      <c r="C13">
        <v>2024</v>
      </c>
      <c r="D13" t="s">
        <v>14</v>
      </c>
      <c r="E13">
        <v>25</v>
      </c>
      <c r="F13">
        <v>700</v>
      </c>
      <c r="G13">
        <v>3.5714285714285712</v>
      </c>
    </row>
    <row r="14" spans="1:7" x14ac:dyDescent="0.35">
      <c r="A14" t="s">
        <v>45</v>
      </c>
      <c r="B14" t="s">
        <v>46</v>
      </c>
      <c r="C14">
        <v>2024</v>
      </c>
      <c r="D14" t="s">
        <v>14</v>
      </c>
      <c r="E14">
        <f>SUM(E10,E8,E7,E5,E3,E2)</f>
        <v>185</v>
      </c>
      <c r="F14">
        <f>SUM(F10,F8,F7,F5,F3,F2)</f>
        <v>3195</v>
      </c>
      <c r="G14">
        <f>E14/F14*100</f>
        <v>5.7902973395931143</v>
      </c>
    </row>
    <row r="15" spans="1:7" x14ac:dyDescent="0.35">
      <c r="A15" t="s">
        <v>7</v>
      </c>
      <c r="B15" t="s">
        <v>8</v>
      </c>
      <c r="C15">
        <v>2024</v>
      </c>
      <c r="D15" t="s">
        <v>14</v>
      </c>
      <c r="E15">
        <v>12720</v>
      </c>
      <c r="F15">
        <v>252485</v>
      </c>
      <c r="G15">
        <v>5.0379230449333621</v>
      </c>
    </row>
    <row r="16" spans="1:7" x14ac:dyDescent="0.35">
      <c r="A16" t="s">
        <v>15</v>
      </c>
      <c r="B16" t="s">
        <v>16</v>
      </c>
      <c r="C16">
        <v>2024</v>
      </c>
      <c r="D16" t="s">
        <v>14</v>
      </c>
      <c r="E16">
        <v>9180</v>
      </c>
      <c r="F16">
        <v>198865</v>
      </c>
      <c r="G16">
        <v>4.6161969175068513</v>
      </c>
    </row>
    <row r="17" spans="1:7" x14ac:dyDescent="0.35">
      <c r="A17" t="s">
        <v>17</v>
      </c>
      <c r="B17" t="s">
        <v>18</v>
      </c>
      <c r="C17">
        <v>2024</v>
      </c>
      <c r="D17" t="s">
        <v>14</v>
      </c>
      <c r="E17">
        <v>595</v>
      </c>
      <c r="F17">
        <v>11420</v>
      </c>
      <c r="G17">
        <v>5.2101576182136604</v>
      </c>
    </row>
    <row r="18" spans="1:7" x14ac:dyDescent="0.35">
      <c r="A18" s="7" t="s">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analysis_data_1</vt:lpstr>
      <vt:lpstr>analysis_data_2</vt:lpstr>
      <vt:lpstr>analysis_data_3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Sarath Kizhakkoott</cp:lastModifiedBy>
  <dcterms:created xsi:type="dcterms:W3CDTF">2026-02-19T23:09:19Z</dcterms:created>
  <dcterms:modified xsi:type="dcterms:W3CDTF">2026-02-20T15:39:14Z</dcterms:modified>
</cp:coreProperties>
</file>