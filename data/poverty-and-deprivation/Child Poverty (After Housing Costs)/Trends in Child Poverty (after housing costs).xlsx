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Child poverty (AHC)\"/>
    </mc:Choice>
  </mc:AlternateContent>
  <xr:revisionPtr revIDLastSave="0" documentId="8_{67A3A198-64C4-4DFA-9477-5F5D9D0E7D56}" xr6:coauthVersionLast="47" xr6:coauthVersionMax="47" xr10:uidLastSave="{00000000-0000-0000-0000-000000000000}"/>
  <bookViews>
    <workbookView xWindow="57480" yWindow="-120" windowWidth="29040" windowHeight="15720" activeTab="1" xr2:uid="{4DD13986-FC61-4677-9DBA-2DA2BAE5DE0F}"/>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J3" i="2"/>
  <c r="I3" i="2"/>
  <c r="H3" i="2"/>
  <c r="G3" i="2"/>
  <c r="F3" i="2"/>
  <c r="E3" i="2"/>
  <c r="D3" i="2"/>
  <c r="C3" i="2"/>
  <c r="B3" i="2"/>
</calcChain>
</file>

<file path=xl/sharedStrings.xml><?xml version="1.0" encoding="utf-8"?>
<sst xmlns="http://schemas.openxmlformats.org/spreadsheetml/2006/main" count="30" uniqueCount="29">
  <si>
    <t>Publisher</t>
  </si>
  <si>
    <t>End Child Poverty Coalition</t>
  </si>
  <si>
    <t>Dataset</t>
  </si>
  <si>
    <t>DWP Children in Low Income Families (HBAI), After Housing Costs</t>
  </si>
  <si>
    <t>Tables</t>
  </si>
  <si>
    <t>Local child poverty rates, after housing costs</t>
  </si>
  <si>
    <t>Publication date</t>
  </si>
  <si>
    <t>Link</t>
  </si>
  <si>
    <t>Created date</t>
  </si>
  <si>
    <t>Last updated</t>
  </si>
  <si>
    <t>Geography used for analysis</t>
  </si>
  <si>
    <t>UK, West of England Combined Authority (WECA), other Combined Authority area, local authorities and parliamentary constituencies</t>
  </si>
  <si>
    <t xml:space="preserve">Aggregation method  </t>
  </si>
  <si>
    <t>Direct use of published percentages. No additional aggregation applied except when comparing geographies (e.g., WECA vs UK vs other CA areas)</t>
  </si>
  <si>
    <t>Data information:</t>
  </si>
  <si>
    <t>Children in households with an income below 60% of the contemporary median income, after housing costs. A child in theis dataset is defined as being aged 0-15 or aged 16-19 and in full-time education. Rates are calculated as a percentage of this cohort. 
The source dataset (from DWP) is based on administrative tax and benefit records. Children in families with no recourse to public funds are, therefore, not inculded in this statistics. Children not living in private households are also excluded.</t>
  </si>
  <si>
    <t>Area</t>
  </si>
  <si>
    <t>2014/15</t>
  </si>
  <si>
    <t>2015/16</t>
  </si>
  <si>
    <t>2016/17</t>
  </si>
  <si>
    <t>2017/18</t>
  </si>
  <si>
    <t>2018/19</t>
  </si>
  <si>
    <t>2019/20</t>
  </si>
  <si>
    <t>2020/21</t>
  </si>
  <si>
    <t>2021/22</t>
  </si>
  <si>
    <t>2022/23</t>
  </si>
  <si>
    <t>2023/24</t>
  </si>
  <si>
    <t>GWE child poverty rate (AHC)</t>
  </si>
  <si>
    <t>UK child poverty rate (AHC)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</si>
</sst>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xf numFmtId="2" fontId="3" fillId="0" borderId="0" xfId="0" applyNumberFormat="1" applyFont="1"/>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ndchildpoverty.org.uk/child-poverty-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3519A-DCC6-45B6-93D7-DC375484371D}">
  <dimension ref="A1:B10"/>
  <sheetViews>
    <sheetView workbookViewId="0">
      <selection sqref="A1:B10"/>
    </sheetView>
  </sheetViews>
  <sheetFormatPr defaultRowHeight="14.5" x14ac:dyDescent="0.35"/>
  <cols>
    <col min="1" max="1" width="19.90625" customWidth="1"/>
    <col min="2" max="2" width="80.08984375" customWidth="1"/>
  </cols>
  <sheetData>
    <row r="1" spans="1:2" x14ac:dyDescent="0.35">
      <c r="A1" s="1" t="s">
        <v>0</v>
      </c>
      <c r="B1" s="2" t="s">
        <v>1</v>
      </c>
    </row>
    <row r="2" spans="1:2" x14ac:dyDescent="0.35">
      <c r="A2" s="1" t="s">
        <v>2</v>
      </c>
      <c r="B2" s="2" t="s">
        <v>3</v>
      </c>
    </row>
    <row r="3" spans="1:2" x14ac:dyDescent="0.35">
      <c r="A3" s="1" t="s">
        <v>4</v>
      </c>
      <c r="B3" s="2" t="s">
        <v>5</v>
      </c>
    </row>
    <row r="4" spans="1:2" x14ac:dyDescent="0.35">
      <c r="A4" s="1" t="s">
        <v>6</v>
      </c>
      <c r="B4" s="3">
        <v>45809</v>
      </c>
    </row>
    <row r="5" spans="1:2" x14ac:dyDescent="0.35">
      <c r="A5" s="1" t="s">
        <v>7</v>
      </c>
      <c r="B5" s="4" t="s">
        <v>5</v>
      </c>
    </row>
    <row r="6" spans="1:2" x14ac:dyDescent="0.35">
      <c r="A6" s="1" t="s">
        <v>8</v>
      </c>
      <c r="B6" s="5">
        <v>46049</v>
      </c>
    </row>
    <row r="7" spans="1:2" x14ac:dyDescent="0.35">
      <c r="A7" s="1" t="s">
        <v>9</v>
      </c>
      <c r="B7" s="5">
        <v>46049</v>
      </c>
    </row>
    <row r="8" spans="1:2" ht="29" x14ac:dyDescent="0.35">
      <c r="A8" s="1" t="s">
        <v>10</v>
      </c>
      <c r="B8" s="2" t="s">
        <v>11</v>
      </c>
    </row>
    <row r="9" spans="1:2" ht="29" x14ac:dyDescent="0.35">
      <c r="A9" s="1" t="s">
        <v>12</v>
      </c>
      <c r="B9" s="2" t="s">
        <v>13</v>
      </c>
    </row>
    <row r="10" spans="1:2" ht="87" x14ac:dyDescent="0.35">
      <c r="A10" s="1" t="s">
        <v>14</v>
      </c>
      <c r="B10" s="2" t="s">
        <v>15</v>
      </c>
    </row>
  </sheetData>
  <hyperlinks>
    <hyperlink ref="B5" r:id="rId1" location="_ftnref1" xr:uid="{9C0D558B-8DDC-4220-8F0F-399C4E643DB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65BAF-F4AB-4B05-AE74-388F89663B2B}">
  <dimension ref="A1:K3"/>
  <sheetViews>
    <sheetView tabSelected="1" workbookViewId="0">
      <selection sqref="A1:K3"/>
    </sheetView>
  </sheetViews>
  <sheetFormatPr defaultRowHeight="14.5" x14ac:dyDescent="0.35"/>
  <sheetData>
    <row r="1" spans="1:11" x14ac:dyDescent="0.35">
      <c r="A1" t="s">
        <v>16</v>
      </c>
      <c r="B1" t="s">
        <v>17</v>
      </c>
      <c r="C1" t="s">
        <v>18</v>
      </c>
      <c r="D1" t="s">
        <v>19</v>
      </c>
      <c r="E1" t="s">
        <v>20</v>
      </c>
      <c r="F1" t="s">
        <v>21</v>
      </c>
      <c r="G1" t="s">
        <v>22</v>
      </c>
      <c r="H1" t="s">
        <v>23</v>
      </c>
      <c r="I1" t="s">
        <v>24</v>
      </c>
      <c r="J1" t="s">
        <v>25</v>
      </c>
      <c r="K1" t="s">
        <v>26</v>
      </c>
    </row>
    <row r="2" spans="1:11" x14ac:dyDescent="0.35">
      <c r="A2" s="6" t="s">
        <v>27</v>
      </c>
      <c r="B2" s="7">
        <v>24.106207779999998</v>
      </c>
      <c r="C2" s="7">
        <v>23.60377678</v>
      </c>
      <c r="D2" s="7">
        <v>22.909259219999999</v>
      </c>
      <c r="E2" s="7">
        <v>22.969101609999999</v>
      </c>
      <c r="F2" s="7">
        <v>23.25767918</v>
      </c>
      <c r="G2" s="7">
        <v>24.396066619999999</v>
      </c>
      <c r="H2" s="7">
        <v>23.313709889999998</v>
      </c>
      <c r="I2" s="7">
        <v>24.552879999999998</v>
      </c>
      <c r="J2" s="7">
        <v>25.125986449999999</v>
      </c>
      <c r="K2" s="7">
        <v>25.76195478</v>
      </c>
    </row>
    <row r="3" spans="1:11" x14ac:dyDescent="0.35">
      <c r="A3" t="s">
        <v>28</v>
      </c>
      <c r="B3" s="8">
        <f>0.277*100</f>
        <v>27.700000000000003</v>
      </c>
      <c r="C3" s="8">
        <f>0.284*100</f>
        <v>28.4</v>
      </c>
      <c r="D3" s="8">
        <f>0.293*100</f>
        <v>29.299999999999997</v>
      </c>
      <c r="E3" s="8">
        <f>0.295*100</f>
        <v>29.5</v>
      </c>
      <c r="F3" s="8">
        <f>0.293*100</f>
        <v>29.299999999999997</v>
      </c>
      <c r="G3" s="8">
        <f>0.297*100</f>
        <v>29.7</v>
      </c>
      <c r="H3" s="8">
        <f>0.289*100</f>
        <v>28.9</v>
      </c>
      <c r="I3" s="8">
        <f>0.292*100</f>
        <v>29.2</v>
      </c>
      <c r="J3" s="8">
        <f>0.299*100</f>
        <v>29.9</v>
      </c>
      <c r="K3" s="8">
        <f>0.297*100</f>
        <v>29.7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2026-03-09T10:07:10Z</dcterms:created>
  <dcterms:modified xsi:type="dcterms:W3CDTF">2026-03-09T10:08:28Z</dcterms:modified>
</cp:coreProperties>
</file>