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opulation - Population Projection\Population projection by age\"/>
    </mc:Choice>
  </mc:AlternateContent>
  <xr:revisionPtr revIDLastSave="0" documentId="13_ncr:1_{EB7A030C-3C76-47D4-8997-6BE42BD7769C}" xr6:coauthVersionLast="47" xr6:coauthVersionMax="47" xr10:uidLastSave="{00000000-0000-0000-0000-000000000000}"/>
  <bookViews>
    <workbookView xWindow="-12720" yWindow="-16320" windowWidth="29040" windowHeight="15720" activeTab="2" xr2:uid="{D065AB7F-7DE4-4EE3-8812-7E5317C81376}"/>
  </bookViews>
  <sheets>
    <sheet name="Metadata" sheetId="3" r:id="rId1"/>
    <sheet name="raw_data" sheetId="2" r:id="rId2"/>
    <sheet name="analysis_data"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9" i="2" l="1"/>
</calcChain>
</file>

<file path=xl/sharedStrings.xml><?xml version="1.0" encoding="utf-8"?>
<sst xmlns="http://schemas.openxmlformats.org/spreadsheetml/2006/main" count="210" uniqueCount="58">
  <si>
    <t>Subnational population projections for England: 2022-based</t>
  </si>
  <si>
    <t>ONS Crown Copyright Reserved [from Nomis on 20 January 2026]</t>
  </si>
  <si>
    <t>base year</t>
  </si>
  <si>
    <t>projected year</t>
  </si>
  <si>
    <t>gender</t>
  </si>
  <si>
    <t>Total</t>
  </si>
  <si>
    <t>local authority: county / unitary (as of April 2021)</t>
  </si>
  <si>
    <t>Aged 0 to 15</t>
  </si>
  <si>
    <t>Aged 16 to 24</t>
  </si>
  <si>
    <t>Aged 25-29</t>
  </si>
  <si>
    <t>Aged 30-34</t>
  </si>
  <si>
    <t>Aged 35-39</t>
  </si>
  <si>
    <t>Aged 40-44</t>
  </si>
  <si>
    <t>Aged 45-49</t>
  </si>
  <si>
    <t>Aged 50-54</t>
  </si>
  <si>
    <t>Aged 55-59</t>
  </si>
  <si>
    <t>Aged 60-64</t>
  </si>
  <si>
    <t>Aged 65-69</t>
  </si>
  <si>
    <t>Aged 70-74</t>
  </si>
  <si>
    <t>Aged 75-79</t>
  </si>
  <si>
    <t>Aged 80-84</t>
  </si>
  <si>
    <t>Aged 85+</t>
  </si>
  <si>
    <t>Bath and North East Somerset</t>
  </si>
  <si>
    <t>Bristol, City of</t>
  </si>
  <si>
    <t>Gloucestershire</t>
  </si>
  <si>
    <t>North Somerset</t>
  </si>
  <si>
    <t>South Gloucestershire</t>
  </si>
  <si>
    <t>Swindon</t>
  </si>
  <si>
    <t>Wiltshire</t>
  </si>
  <si>
    <t>Figures may not sum because of rounding.</t>
  </si>
  <si>
    <t>Aged 25-34</t>
  </si>
  <si>
    <t>Aged 35-44</t>
  </si>
  <si>
    <t>Aged 45-54</t>
  </si>
  <si>
    <t>Aged 55-64</t>
  </si>
  <si>
    <t>Aged 65-74</t>
  </si>
  <si>
    <t>Aged 75 and over</t>
  </si>
  <si>
    <t>Greater West of England 2022 - 2027</t>
  </si>
  <si>
    <t>Greater West of England 2027 - 2032</t>
  </si>
  <si>
    <t>Greater West of England 2032 - 2037</t>
  </si>
  <si>
    <t>Greater West of England 2037 - 2042</t>
  </si>
  <si>
    <t>Greater West of England 2042 - 2047</t>
  </si>
  <si>
    <t>Publisher</t>
  </si>
  <si>
    <t>Office for National Statistics (ONS), NOMIS</t>
  </si>
  <si>
    <t>Dataset</t>
  </si>
  <si>
    <t>Population projections for local authorities by single year of age and sex, England 2022 based</t>
  </si>
  <si>
    <t>Tables</t>
  </si>
  <si>
    <t>Collected from NOMIS</t>
  </si>
  <si>
    <t>Publication date</t>
  </si>
  <si>
    <t>Next update</t>
  </si>
  <si>
    <t>Link</t>
  </si>
  <si>
    <t>https://www.nomisweb.co.uk/query/construct/summary.asp?mode=construct&amp;version=0&amp;dataset=2006</t>
  </si>
  <si>
    <t>Created date</t>
  </si>
  <si>
    <t>Last updated</t>
  </si>
  <si>
    <t>Geography used for analysis</t>
  </si>
  <si>
    <t xml:space="preserve">The Greater West of England Area (Bristol, Bath &amp; North East Somerset, South Gloucestershire, Gloucestershire, North Somerset, Swindon, Wiltshire) </t>
  </si>
  <si>
    <t>Data information:</t>
  </si>
  <si>
    <t>Subnational population projections (SNPPs) provide an indication of the potential future population size of the England. These statistics are widely used in planning; for example, fiscal projections, health, education, and pensions.Long-term subnational population projections are an indication of the future trends in population by age and sex over the next 25 years, this publication will	cover from the year 2022 to 2047. They are trend-based projections, which means assumptions for future levels of births, deaths and migration are based  on observed levels mainly over the  previous five years. They show what the population will be if recent trends continue.	
The projected resident population of an area includes all people who usually live there, whatever their nationality. People moving into or out of the	
country are only included in the resident population if their total stay in that area is for 12 months or more, thus visitors and short-term migrants are 	
not included. Armed forces stationed abroad are not included, but armed forces stationed within an area are included. Students are taken to be resident at their term-time address.</t>
  </si>
  <si>
    <t>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</si>
</sst>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indexed="8"/>
      <name val="Aptos Narrow"/>
      <family val="2"/>
      <scheme val="minor"/>
    </font>
    <font>
      <b/>
      <sz val="12"/>
      <name val="arial"/>
    </font>
    <font>
      <sz val="10"/>
      <name val="arial"/>
    </font>
    <font>
      <b/>
      <sz val="10"/>
      <name val="arial"/>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5">
    <xf numFmtId="0" fontId="0" fillId="0" borderId="0"/>
    <xf numFmtId="0" fontId="3" fillId="0" borderId="0"/>
    <xf numFmtId="0" fontId="7" fillId="0" borderId="0" applyNumberFormat="0" applyFill="0" applyBorder="0" applyAlignment="0" applyProtection="0"/>
    <xf numFmtId="0" fontId="1" fillId="0" borderId="0"/>
    <xf numFmtId="0" fontId="3" fillId="0" borderId="0"/>
  </cellStyleXfs>
  <cellXfs count="14">
    <xf numFmtId="0" fontId="0" fillId="0" borderId="0" xfId="0"/>
    <xf numFmtId="0" fontId="4" fillId="0" borderId="0" xfId="1" applyFont="1" applyAlignment="1">
      <alignment horizontal="left" vertical="center"/>
    </xf>
    <xf numFmtId="0" fontId="3" fillId="0" borderId="0" xfId="1"/>
    <xf numFmtId="0" fontId="5" fillId="0" borderId="0" xfId="1" applyFont="1"/>
    <xf numFmtId="0" fontId="5" fillId="0" borderId="0" xfId="1" applyFont="1" applyAlignment="1">
      <alignment horizontal="left"/>
    </xf>
    <xf numFmtId="0" fontId="6" fillId="0" borderId="0" xfId="1" applyFont="1" applyAlignment="1">
      <alignment horizontal="left" vertical="center" wrapText="1"/>
    </xf>
    <xf numFmtId="0" fontId="6" fillId="0" borderId="0" xfId="1" applyFont="1" applyAlignment="1">
      <alignment horizontal="center" vertical="center" wrapText="1"/>
    </xf>
    <xf numFmtId="3" fontId="5" fillId="0" borderId="0" xfId="1" applyNumberFormat="1" applyFont="1" applyAlignment="1">
      <alignment horizontal="right"/>
    </xf>
    <xf numFmtId="0" fontId="2" fillId="0" borderId="0" xfId="3" applyFont="1" applyAlignment="1">
      <alignment horizontal="left" wrapText="1"/>
    </xf>
    <xf numFmtId="0" fontId="1" fillId="0" borderId="0" xfId="3" applyAlignment="1">
      <alignment horizontal="left" wrapText="1"/>
    </xf>
    <xf numFmtId="0" fontId="3" fillId="0" borderId="0" xfId="4"/>
    <xf numFmtId="17" fontId="1" fillId="0" borderId="0" xfId="3" applyNumberFormat="1" applyAlignment="1">
      <alignment horizontal="left" wrapText="1"/>
    </xf>
    <xf numFmtId="0" fontId="7" fillId="0" borderId="0" xfId="2"/>
    <xf numFmtId="14" fontId="1" fillId="0" borderId="0" xfId="3" applyNumberFormat="1" applyAlignment="1">
      <alignment horizontal="left" wrapText="1"/>
    </xf>
  </cellXfs>
  <cellStyles count="5">
    <cellStyle name="Hyperlink" xfId="2" builtinId="8"/>
    <cellStyle name="Normal" xfId="0" builtinId="0"/>
    <cellStyle name="Normal 2" xfId="1" xr:uid="{AA566FA2-4B89-44F1-8302-8F498E41596B}"/>
    <cellStyle name="Normal 2 2" xfId="3" xr:uid="{67891029-A631-420C-86E0-BBA1D7622123}"/>
    <cellStyle name="Normal 3" xfId="4" xr:uid="{30624751-9C68-429C-8ECB-9BC3AD39FED6}"/>
  </cellStyles>
  <dxfs count="108">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0"/>
        <color auto="1"/>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0"/>
        <color auto="1"/>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0"/>
        <color auto="1"/>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0"/>
        <color auto="1"/>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0"/>
        <color auto="1"/>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0"/>
        <color auto="1"/>
        <name val="arial"/>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65DFF9-C97C-4C8A-92A7-A2B6DA21AC06}" name="Table1" displayName="Table1" ref="A8:P15" totalsRowShown="0" headerRowDxfId="107" dataDxfId="106">
  <autoFilter ref="A8:P15" xr:uid="{D7E4B140-8299-4AC7-89AB-7C468136F9C4}"/>
  <tableColumns count="16">
    <tableColumn id="1" xr3:uid="{636C1A25-8EB8-4287-A41F-5E12A31840BA}" name="local authority: county / unitary (as of April 2021)" dataDxfId="105"/>
    <tableColumn id="2" xr3:uid="{2E0EA03F-AAF7-43E5-8B31-6625E8B6B28D}" name="Aged 0 to 15" dataDxfId="104"/>
    <tableColumn id="3" xr3:uid="{7F13FC13-A878-4AC0-A784-022DEC3AB372}" name="Aged 16 to 24" dataDxfId="103"/>
    <tableColumn id="4" xr3:uid="{159580E6-9AB8-4404-B6C0-ED749E81F1C1}" name="Aged 25-29" dataDxfId="102"/>
    <tableColumn id="5" xr3:uid="{C610BB69-4D70-4018-89D9-75286C4C2B8A}" name="Aged 30-34" dataDxfId="101"/>
    <tableColumn id="6" xr3:uid="{6F2B755E-D73B-434C-B1D9-C2A9649A6B4E}" name="Aged 35-39" dataDxfId="100"/>
    <tableColumn id="7" xr3:uid="{23ED0DE9-E65E-4C3F-AA95-4AD927DB847A}" name="Aged 40-44" dataDxfId="99"/>
    <tableColumn id="8" xr3:uid="{3EB45A5C-0FFC-4557-B385-0E1409F5B88B}" name="Aged 45-49" dataDxfId="98"/>
    <tableColumn id="9" xr3:uid="{E6CD35B8-A010-495F-89A9-17EEAB5A4993}" name="Aged 50-54" dataDxfId="97"/>
    <tableColumn id="10" xr3:uid="{FAB47F01-7FE1-43A9-AD53-9B76E4C97A34}" name="Aged 55-59" dataDxfId="96"/>
    <tableColumn id="11" xr3:uid="{2B1E523C-22CA-4612-AEB2-162103418D1F}" name="Aged 60-64" dataDxfId="95"/>
    <tableColumn id="12" xr3:uid="{47DD65BE-ED22-47A7-9875-B10FFADC48FB}" name="Aged 65-69" dataDxfId="94"/>
    <tableColumn id="13" xr3:uid="{D085BBEC-7007-45EC-A2EC-DE102019FAF6}" name="Aged 70-74" dataDxfId="93"/>
    <tableColumn id="14" xr3:uid="{06B89417-E729-48A8-9DD4-D8051C10F1E9}" name="Aged 75-79" dataDxfId="92"/>
    <tableColumn id="15" xr3:uid="{8771D96F-C216-49DE-A020-26649F00947C}" name="Aged 80-84" dataDxfId="91"/>
    <tableColumn id="16" xr3:uid="{C8436A53-1182-4EC6-BDEC-AF63B02F93C1}" name="Aged 85+" dataDxfId="9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F8838D-FC84-452E-9B80-7D110E4045EA}" name="Table3" displayName="Table3" ref="A27:P34" totalsRowShown="0" headerRowDxfId="89" dataDxfId="88">
  <autoFilter ref="A27:P34" xr:uid="{C1DD7FBC-BD13-4466-8F65-6193187BF8C4}"/>
  <tableColumns count="16">
    <tableColumn id="1" xr3:uid="{7B107678-1470-4B68-BDBC-9B2080E2147C}" name="local authority: county / unitary (as of April 2021)" dataDxfId="87"/>
    <tableColumn id="2" xr3:uid="{77A81A81-4560-4CBD-8EAF-EC5709E10F47}" name="Aged 0 to 15" dataDxfId="86"/>
    <tableColumn id="3" xr3:uid="{6075FD9D-1133-471A-AB9E-87285DDF7B38}" name="Aged 16 to 24" dataDxfId="85"/>
    <tableColumn id="4" xr3:uid="{D478E065-2468-4DDC-8563-F97B0BB8049E}" name="Aged 25-29" dataDxfId="84"/>
    <tableColumn id="5" xr3:uid="{FF274400-2F4A-46AC-A32E-E96B1E57EF66}" name="Aged 30-34" dataDxfId="83"/>
    <tableColumn id="6" xr3:uid="{25C21818-A3DC-49F9-806E-2277E39F8671}" name="Aged 35-39" dataDxfId="82"/>
    <tableColumn id="7" xr3:uid="{665B8B8B-9F82-495B-A502-93C9826DC878}" name="Aged 40-44" dataDxfId="81"/>
    <tableColumn id="8" xr3:uid="{250EF827-995E-437A-81B1-064DDDD60B95}" name="Aged 45-49" dataDxfId="80"/>
    <tableColumn id="9" xr3:uid="{C687C96C-EC43-4C20-B6CC-8BE3E0B5DF7C}" name="Aged 50-54" dataDxfId="79"/>
    <tableColumn id="10" xr3:uid="{CD2EA232-B204-4DA8-AB69-9CD7AD03FF9E}" name="Aged 55-59" dataDxfId="78"/>
    <tableColumn id="11" xr3:uid="{4CB51ED8-B70E-4BF0-9230-A67FA2B89F7B}" name="Aged 60-64" dataDxfId="77"/>
    <tableColumn id="12" xr3:uid="{9D38D45E-3CE0-47E2-B3F4-674CC2103BFD}" name="Aged 65-69" dataDxfId="76"/>
    <tableColumn id="13" xr3:uid="{F0EDD9FD-21D0-4F0D-A788-F261B0DAA554}" name="Aged 70-74" dataDxfId="75"/>
    <tableColumn id="14" xr3:uid="{4EF08331-5B9E-40E7-821C-C2D5568380FC}" name="Aged 75-79" dataDxfId="74"/>
    <tableColumn id="15" xr3:uid="{58735D66-A3C2-46B9-801D-C1AC4FF89EB7}" name="Aged 80-84" dataDxfId="73"/>
    <tableColumn id="16" xr3:uid="{52A254C4-32E6-4825-B18C-3BC9C6ECDBF0}" name="Aged 85+" dataDxfId="7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799C42-EA7F-4618-B648-7DB16A54CE6B}" name="Table5" displayName="Table5" ref="A46:P53" totalsRowShown="0" headerRowDxfId="71" dataDxfId="70">
  <autoFilter ref="A46:P53" xr:uid="{D53F32CB-5F7D-4AB4-B1B2-E42AFBA53B0D}"/>
  <tableColumns count="16">
    <tableColumn id="1" xr3:uid="{1415931F-8292-42F1-ACF2-A2EEA64C4E23}" name="local authority: county / unitary (as of April 2021)" dataDxfId="69"/>
    <tableColumn id="2" xr3:uid="{4DF81084-E66A-4A2D-9F83-B7BF7DB86DFA}" name="Aged 0 to 15" dataDxfId="68"/>
    <tableColumn id="3" xr3:uid="{5BE94BA0-404F-47A0-9589-9B6A2C6733AF}" name="Aged 16 to 24" dataDxfId="67"/>
    <tableColumn id="4" xr3:uid="{728C4DC1-CE62-4934-9A4B-F0BAFC9E102F}" name="Aged 25-29" dataDxfId="66"/>
    <tableColumn id="5" xr3:uid="{107E5A0B-56A1-4ED7-9185-4B4DC2A9E6AE}" name="Aged 30-34" dataDxfId="65"/>
    <tableColumn id="6" xr3:uid="{429F4EB7-0134-47EA-811B-2F4343037C83}" name="Aged 35-39" dataDxfId="64"/>
    <tableColumn id="7" xr3:uid="{BB009DD7-4E86-485B-89BF-9CC3B6743325}" name="Aged 40-44" dataDxfId="63"/>
    <tableColumn id="8" xr3:uid="{9E7F0F7F-0314-4FBC-B3FE-3AED38991910}" name="Aged 45-49" dataDxfId="62"/>
    <tableColumn id="9" xr3:uid="{71304C34-B70A-444A-ADA7-AF3AD7181745}" name="Aged 50-54" dataDxfId="61"/>
    <tableColumn id="10" xr3:uid="{8DE75E85-19DA-47C4-975F-B20A094B9B27}" name="Aged 55-59" dataDxfId="60"/>
    <tableColumn id="11" xr3:uid="{0A904131-8638-4065-AAAF-6812D8577C28}" name="Aged 60-64" dataDxfId="59"/>
    <tableColumn id="12" xr3:uid="{4D1781B2-02EB-49A1-9163-F3C4E5EB77FE}" name="Aged 65-69" dataDxfId="58"/>
    <tableColumn id="13" xr3:uid="{D2C7FC89-F509-4BC6-8D27-CD452C65E0AA}" name="Aged 70-74" dataDxfId="57"/>
    <tableColumn id="14" xr3:uid="{5AF5BA77-BA2F-462F-B5DF-3D9E7BE096C5}" name="Aged 75-79" dataDxfId="56"/>
    <tableColumn id="15" xr3:uid="{9F51CB9C-892D-4CE0-9924-7B58D07CE4C9}" name="Aged 80-84" dataDxfId="55"/>
    <tableColumn id="16" xr3:uid="{E3996E51-CBC7-4F2D-90ED-20AE2C3D19E9}" name="Aged 85+" dataDxfId="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A3D4B8-D78D-4363-9183-F42E943F817A}" name="Table7" displayName="Table7" ref="A65:P72" totalsRowShown="0" headerRowDxfId="53" dataDxfId="52">
  <autoFilter ref="A65:P72" xr:uid="{8DF89E2D-3B4C-4D66-B059-5D696329142A}"/>
  <tableColumns count="16">
    <tableColumn id="1" xr3:uid="{B71EB55D-0250-43AF-B2A3-0E4B330525A9}" name="local authority: county / unitary (as of April 2021)" dataDxfId="51"/>
    <tableColumn id="2" xr3:uid="{A01BF0CC-2875-4BAD-AA6C-BC4B9DCA701D}" name="Aged 0 to 15" dataDxfId="50"/>
    <tableColumn id="3" xr3:uid="{4FEAE513-F0E7-4200-B90D-9AEF88BC94A7}" name="Aged 16 to 24" dataDxfId="49"/>
    <tableColumn id="4" xr3:uid="{D9A2B62B-C70F-40D6-A49F-60258E219948}" name="Aged 25-29" dataDxfId="48"/>
    <tableColumn id="5" xr3:uid="{BB17AF20-AE5D-4E43-BA58-59A0835967DD}" name="Aged 30-34" dataDxfId="47"/>
    <tableColumn id="6" xr3:uid="{E81B6484-99C7-4988-8881-33CAFA0310E7}" name="Aged 35-39" dataDxfId="46"/>
    <tableColumn id="7" xr3:uid="{3EC5A93A-408B-437C-855E-D99858357D42}" name="Aged 40-44" dataDxfId="45"/>
    <tableColumn id="8" xr3:uid="{35911739-FD1A-46A2-9F65-351C8088C268}" name="Aged 45-49" dataDxfId="44"/>
    <tableColumn id="9" xr3:uid="{41D19784-3288-4C3D-AE60-0EA9259B3F7A}" name="Aged 50-54" dataDxfId="43"/>
    <tableColumn id="10" xr3:uid="{9EC0900A-15DA-4D79-9841-DFA0FC9C6665}" name="Aged 55-59" dataDxfId="42"/>
    <tableColumn id="11" xr3:uid="{1D3321DF-CBB1-42D0-A01A-9FF5A0F532F3}" name="Aged 60-64" dataDxfId="41"/>
    <tableColumn id="12" xr3:uid="{5535D865-255C-46C7-8D33-ABCD28AB609E}" name="Aged 65-69" dataDxfId="40"/>
    <tableColumn id="13" xr3:uid="{517169C3-D65F-47B6-9E6A-27304FC0AB7C}" name="Aged 70-74" dataDxfId="39"/>
    <tableColumn id="14" xr3:uid="{C69AF0A2-8B65-4D17-A33D-E9FC082F886B}" name="Aged 75-79" dataDxfId="38"/>
    <tableColumn id="15" xr3:uid="{38F5813B-F701-47F0-B6EA-CA56415DDF1F}" name="Aged 80-84" dataDxfId="37"/>
    <tableColumn id="16" xr3:uid="{58C59C56-55B9-4CCE-A371-B5BBBA54E445}" name="Aged 85+" dataDxfId="3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2842980-B14C-49E9-9F0F-FCFB1AEB068F}" name="Table9" displayName="Table9" ref="A84:P91" totalsRowShown="0" headerRowDxfId="35" dataDxfId="34">
  <autoFilter ref="A84:P91" xr:uid="{C29FBC2D-CF5A-4A30-8C09-FD76179D3CCF}"/>
  <tableColumns count="16">
    <tableColumn id="1" xr3:uid="{57BF7616-EE77-43C6-B82D-85BD1E498A04}" name="local authority: county / unitary (as of April 2021)" dataDxfId="33"/>
    <tableColumn id="2" xr3:uid="{1ACED99A-E985-4664-B36D-C3D9E9746D69}" name="Aged 0 to 15" dataDxfId="32"/>
    <tableColumn id="3" xr3:uid="{7383969E-3741-48ED-ACC0-643C5DC8093B}" name="Aged 16 to 24" dataDxfId="31"/>
    <tableColumn id="4" xr3:uid="{51230731-2DC5-4614-915C-93959CD7E762}" name="Aged 25-29" dataDxfId="30"/>
    <tableColumn id="5" xr3:uid="{6C9CF82E-F375-4A68-A3BC-8A59E1ECFA8B}" name="Aged 30-34" dataDxfId="29"/>
    <tableColumn id="6" xr3:uid="{9C6B8818-E3F2-40CD-A59D-ECA666AC0A25}" name="Aged 35-39" dataDxfId="28"/>
    <tableColumn id="7" xr3:uid="{5E6E0CC4-12B7-48CA-9E46-8B190110010B}" name="Aged 40-44" dataDxfId="27"/>
    <tableColumn id="8" xr3:uid="{01111E13-2F75-4F0D-9B76-16EEC9713FF6}" name="Aged 45-49" dataDxfId="26"/>
    <tableColumn id="9" xr3:uid="{AC8DB9CA-E339-4391-8C94-F62122EEC88D}" name="Aged 50-54" dataDxfId="25"/>
    <tableColumn id="10" xr3:uid="{3B2FD971-4766-4F13-99AA-41EC839D183F}" name="Aged 55-59" dataDxfId="24"/>
    <tableColumn id="11" xr3:uid="{9BDE88A6-EA10-4745-ABA2-815EDB5ACCF1}" name="Aged 60-64" dataDxfId="23"/>
    <tableColumn id="12" xr3:uid="{9E005603-3673-42D4-AADF-0E173BDE17F5}" name="Aged 65-69" dataDxfId="22"/>
    <tableColumn id="13" xr3:uid="{E8FC6E9A-4C76-48C2-B983-9B64A93B4422}" name="Aged 70-74" dataDxfId="21"/>
    <tableColumn id="14" xr3:uid="{A694DDEC-46C1-4A66-8BAA-2D54B423F654}" name="Aged 75-79" dataDxfId="20"/>
    <tableColumn id="15" xr3:uid="{65E31E78-5D12-412E-AE18-E98D17B94626}" name="Aged 80-84" dataDxfId="19"/>
    <tableColumn id="16" xr3:uid="{84B9BBC8-2D1A-40D7-B698-B9101FFD7A5C}" name="Aged 85+" dataDxfId="1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E36017C-9511-48FC-A2AE-BFAADC242766}" name="Table11" displayName="Table11" ref="A103:P110" totalsRowShown="0" headerRowDxfId="17" dataDxfId="16">
  <autoFilter ref="A103:P110" xr:uid="{AFCB4748-EF36-4501-96B5-4B8552206B0A}"/>
  <tableColumns count="16">
    <tableColumn id="1" xr3:uid="{F008E886-0978-45F3-9CD3-74FE05F81716}" name="local authority: county / unitary (as of April 2021)" dataDxfId="15"/>
    <tableColumn id="2" xr3:uid="{2041320E-988B-4300-81E4-B9EDF0991DD5}" name="Aged 0 to 15" dataDxfId="14"/>
    <tableColumn id="3" xr3:uid="{0658A96D-4C36-4F27-A247-7D8375F0EB48}" name="Aged 16 to 24" dataDxfId="13"/>
    <tableColumn id="4" xr3:uid="{B160B593-0A1B-4C78-9AA2-6EE1120C52B5}" name="Aged 25-29" dataDxfId="12"/>
    <tableColumn id="5" xr3:uid="{EBBB0091-CCEA-4651-BE7E-9791A0939D4F}" name="Aged 30-34" dataDxfId="11"/>
    <tableColumn id="6" xr3:uid="{2EE9BD3B-9B13-4475-8E9B-A986959CD1C3}" name="Aged 35-39" dataDxfId="10"/>
    <tableColumn id="7" xr3:uid="{5120C2B7-56A6-4E16-8BCA-2B958B99F88B}" name="Aged 40-44" dataDxfId="9"/>
    <tableColumn id="8" xr3:uid="{9941B565-169D-4807-B190-F33B6A7536AF}" name="Aged 45-49" dataDxfId="8"/>
    <tableColumn id="9" xr3:uid="{0215BEFC-04A8-478B-A1A7-443833EC64EA}" name="Aged 50-54" dataDxfId="7"/>
    <tableColumn id="10" xr3:uid="{3DF8D0B4-4D52-45F4-A03B-4F5AA4BBEEDA}" name="Aged 55-59" dataDxfId="6"/>
    <tableColumn id="11" xr3:uid="{87AEA76A-1348-45B6-B3AE-AD048A325D2F}" name="Aged 60-64" dataDxfId="5"/>
    <tableColumn id="12" xr3:uid="{B4E9186D-2910-4ABE-B54B-07A1FCDD7A1A}" name="Aged 65-69" dataDxfId="4"/>
    <tableColumn id="13" xr3:uid="{862D55A6-BA5D-4B93-B44C-AB83C72BB60A}" name="Aged 70-74" dataDxfId="3"/>
    <tableColumn id="14" xr3:uid="{75490F29-E560-4E4E-B084-C0908FB81E22}" name="Aged 75-79" dataDxfId="2"/>
    <tableColumn id="15" xr3:uid="{8B45A6B1-C438-4608-BB58-43A5EB45F634}" name="Aged 80-84" dataDxfId="1"/>
    <tableColumn id="16" xr3:uid="{EE011E25-5193-4F61-9AD6-91F8A70D3D33}" name="Aged 85+"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2006"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F9424-F75F-489A-9286-AFABE5A6B148}">
  <dimension ref="A1:B10"/>
  <sheetViews>
    <sheetView workbookViewId="0">
      <selection activeCell="B10" sqref="A1:B10"/>
    </sheetView>
  </sheetViews>
  <sheetFormatPr defaultRowHeight="14.5" x14ac:dyDescent="0.35"/>
  <cols>
    <col min="1" max="1" width="25.1796875" style="10" bestFit="1" customWidth="1"/>
    <col min="2" max="2" width="128.81640625" style="10" customWidth="1"/>
    <col min="3" max="16384" width="8.7265625" style="10"/>
  </cols>
  <sheetData>
    <row r="1" spans="1:2" x14ac:dyDescent="0.35">
      <c r="A1" s="8" t="s">
        <v>41</v>
      </c>
      <c r="B1" s="9" t="s">
        <v>42</v>
      </c>
    </row>
    <row r="2" spans="1:2" x14ac:dyDescent="0.35">
      <c r="A2" s="8" t="s">
        <v>43</v>
      </c>
      <c r="B2" s="9" t="s">
        <v>44</v>
      </c>
    </row>
    <row r="3" spans="1:2" x14ac:dyDescent="0.35">
      <c r="A3" s="8" t="s">
        <v>45</v>
      </c>
      <c r="B3" s="9" t="s">
        <v>46</v>
      </c>
    </row>
    <row r="4" spans="1:2" x14ac:dyDescent="0.35">
      <c r="A4" s="8" t="s">
        <v>47</v>
      </c>
      <c r="B4" s="11">
        <v>45832</v>
      </c>
    </row>
    <row r="5" spans="1:2" x14ac:dyDescent="0.35">
      <c r="A5" s="8" t="s">
        <v>48</v>
      </c>
      <c r="B5" s="11">
        <v>46204</v>
      </c>
    </row>
    <row r="6" spans="1:2" x14ac:dyDescent="0.35">
      <c r="A6" s="8" t="s">
        <v>49</v>
      </c>
      <c r="B6" s="12" t="s">
        <v>50</v>
      </c>
    </row>
    <row r="7" spans="1:2" x14ac:dyDescent="0.35">
      <c r="A7" s="8" t="s">
        <v>51</v>
      </c>
      <c r="B7" s="13">
        <v>46041</v>
      </c>
    </row>
    <row r="8" spans="1:2" x14ac:dyDescent="0.35">
      <c r="A8" s="8" t="s">
        <v>52</v>
      </c>
      <c r="B8" s="13">
        <v>46041</v>
      </c>
    </row>
    <row r="9" spans="1:2" x14ac:dyDescent="0.35">
      <c r="A9" s="8" t="s">
        <v>53</v>
      </c>
      <c r="B9" s="9" t="s">
        <v>54</v>
      </c>
    </row>
    <row r="10" spans="1:2" ht="130.5" x14ac:dyDescent="0.35">
      <c r="A10" s="8" t="s">
        <v>55</v>
      </c>
      <c r="B10" s="9" t="s">
        <v>56</v>
      </c>
    </row>
  </sheetData>
  <hyperlinks>
    <hyperlink ref="B6" r:id="rId1" xr:uid="{A069713C-C7A1-43BF-AFB8-79392DBD09F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A91AD-329A-46FB-A19D-549D5624E541}">
  <dimension ref="A1:R112"/>
  <sheetViews>
    <sheetView topLeftCell="A45" workbookViewId="0">
      <selection sqref="A1:XFD1048576"/>
    </sheetView>
  </sheetViews>
  <sheetFormatPr defaultRowHeight="14.5" x14ac:dyDescent="0.35"/>
  <cols>
    <col min="1" max="1" width="44.90625" style="2" customWidth="1" collapsed="1"/>
    <col min="2" max="2" width="14" style="2" customWidth="1" collapsed="1"/>
    <col min="3" max="3" width="14.54296875" style="2" customWidth="1" collapsed="1"/>
    <col min="4" max="16" width="14" style="2" customWidth="1" collapsed="1"/>
    <col min="17" max="16384" width="8.7265625" style="2"/>
  </cols>
  <sheetData>
    <row r="1" spans="1:18" ht="15.5" x14ac:dyDescent="0.35">
      <c r="A1" s="1" t="s">
        <v>0</v>
      </c>
    </row>
    <row r="2" spans="1:18" x14ac:dyDescent="0.35">
      <c r="A2" s="3" t="s">
        <v>1</v>
      </c>
    </row>
    <row r="4" spans="1:18" x14ac:dyDescent="0.35">
      <c r="A4" s="4" t="s">
        <v>2</v>
      </c>
      <c r="B4" s="4">
        <v>2022</v>
      </c>
    </row>
    <row r="5" spans="1:18" x14ac:dyDescent="0.35">
      <c r="A5" s="4" t="s">
        <v>3</v>
      </c>
      <c r="B5" s="4">
        <v>2022</v>
      </c>
    </row>
    <row r="6" spans="1:18" x14ac:dyDescent="0.35">
      <c r="A6" s="4" t="s">
        <v>4</v>
      </c>
      <c r="B6" s="4" t="s">
        <v>5</v>
      </c>
    </row>
    <row r="8" spans="1:18" ht="26" customHeight="1" x14ac:dyDescent="0.35">
      <c r="A8" s="5" t="s">
        <v>6</v>
      </c>
      <c r="B8" s="6" t="s">
        <v>7</v>
      </c>
      <c r="C8" s="6" t="s">
        <v>8</v>
      </c>
      <c r="D8" s="6" t="s">
        <v>9</v>
      </c>
      <c r="E8" s="6" t="s">
        <v>10</v>
      </c>
      <c r="F8" s="6" t="s">
        <v>11</v>
      </c>
      <c r="G8" s="6" t="s">
        <v>12</v>
      </c>
      <c r="H8" s="6" t="s">
        <v>13</v>
      </c>
      <c r="I8" s="6" t="s">
        <v>14</v>
      </c>
      <c r="J8" s="6" t="s">
        <v>15</v>
      </c>
      <c r="K8" s="6" t="s">
        <v>16</v>
      </c>
      <c r="L8" s="6" t="s">
        <v>17</v>
      </c>
      <c r="M8" s="6" t="s">
        <v>18</v>
      </c>
      <c r="N8" s="6" t="s">
        <v>19</v>
      </c>
      <c r="O8" s="6" t="s">
        <v>20</v>
      </c>
      <c r="P8" s="6" t="s">
        <v>21</v>
      </c>
    </row>
    <row r="9" spans="1:18" x14ac:dyDescent="0.35">
      <c r="A9" s="4" t="s">
        <v>22</v>
      </c>
      <c r="B9" s="7">
        <v>32056</v>
      </c>
      <c r="C9" s="7">
        <v>32361</v>
      </c>
      <c r="D9" s="7">
        <v>11295</v>
      </c>
      <c r="E9" s="7">
        <v>12058</v>
      </c>
      <c r="F9" s="7">
        <v>11270</v>
      </c>
      <c r="G9" s="7">
        <v>11145</v>
      </c>
      <c r="H9" s="7">
        <v>11019</v>
      </c>
      <c r="I9" s="7">
        <v>12639</v>
      </c>
      <c r="J9" s="7">
        <v>12767</v>
      </c>
      <c r="K9" s="7">
        <v>11229</v>
      </c>
      <c r="L9" s="7">
        <v>9488</v>
      </c>
      <c r="M9" s="7">
        <v>9376</v>
      </c>
      <c r="N9" s="7">
        <v>8266</v>
      </c>
      <c r="O9" s="7">
        <v>5356</v>
      </c>
      <c r="P9" s="7">
        <v>5663</v>
      </c>
      <c r="R9" s="2">
        <f>SUM(N8:P9)</f>
        <v>19285</v>
      </c>
    </row>
    <row r="10" spans="1:18" x14ac:dyDescent="0.35">
      <c r="A10" s="4" t="s">
        <v>23</v>
      </c>
      <c r="B10" s="7">
        <v>82398</v>
      </c>
      <c r="C10" s="7">
        <v>76997</v>
      </c>
      <c r="D10" s="7">
        <v>45594</v>
      </c>
      <c r="E10" s="7">
        <v>43824</v>
      </c>
      <c r="F10" s="7">
        <v>38310</v>
      </c>
      <c r="G10" s="7">
        <v>31879</v>
      </c>
      <c r="H10" s="7">
        <v>26594</v>
      </c>
      <c r="I10" s="7">
        <v>25802</v>
      </c>
      <c r="J10" s="7">
        <v>25004</v>
      </c>
      <c r="K10" s="7">
        <v>20981</v>
      </c>
      <c r="L10" s="7">
        <v>17044</v>
      </c>
      <c r="M10" s="7">
        <v>15259</v>
      </c>
      <c r="N10" s="7">
        <v>12403</v>
      </c>
      <c r="O10" s="7">
        <v>8091</v>
      </c>
      <c r="P10" s="7">
        <v>8456</v>
      </c>
    </row>
    <row r="11" spans="1:18" x14ac:dyDescent="0.35">
      <c r="A11" s="4" t="s">
        <v>24</v>
      </c>
      <c r="B11" s="7">
        <v>114379</v>
      </c>
      <c r="C11" s="7">
        <v>60900</v>
      </c>
      <c r="D11" s="7">
        <v>36497</v>
      </c>
      <c r="E11" s="7">
        <v>40866</v>
      </c>
      <c r="F11" s="7">
        <v>40441</v>
      </c>
      <c r="G11" s="7">
        <v>40077</v>
      </c>
      <c r="H11" s="7">
        <v>38972</v>
      </c>
      <c r="I11" s="7">
        <v>45711</v>
      </c>
      <c r="J11" s="7">
        <v>48435</v>
      </c>
      <c r="K11" s="7">
        <v>43350</v>
      </c>
      <c r="L11" s="7">
        <v>36545</v>
      </c>
      <c r="M11" s="7">
        <v>35828</v>
      </c>
      <c r="N11" s="7">
        <v>31215</v>
      </c>
      <c r="O11" s="7">
        <v>19783</v>
      </c>
      <c r="P11" s="7">
        <v>19667</v>
      </c>
    </row>
    <row r="12" spans="1:18" x14ac:dyDescent="0.35">
      <c r="A12" s="4" t="s">
        <v>25</v>
      </c>
      <c r="B12" s="7">
        <v>38509</v>
      </c>
      <c r="C12" s="7">
        <v>18371</v>
      </c>
      <c r="D12" s="7">
        <v>10763</v>
      </c>
      <c r="E12" s="7">
        <v>12526</v>
      </c>
      <c r="F12" s="7">
        <v>13321</v>
      </c>
      <c r="G12" s="7">
        <v>13836</v>
      </c>
      <c r="H12" s="7">
        <v>13708</v>
      </c>
      <c r="I12" s="7">
        <v>15425</v>
      </c>
      <c r="J12" s="7">
        <v>15838</v>
      </c>
      <c r="K12" s="7">
        <v>14117</v>
      </c>
      <c r="L12" s="7">
        <v>12512</v>
      </c>
      <c r="M12" s="7">
        <v>13042</v>
      </c>
      <c r="N12" s="7">
        <v>12113</v>
      </c>
      <c r="O12" s="7">
        <v>7504</v>
      </c>
      <c r="P12" s="7">
        <v>7580</v>
      </c>
    </row>
    <row r="13" spans="1:18" x14ac:dyDescent="0.35">
      <c r="A13" s="4" t="s">
        <v>26</v>
      </c>
      <c r="B13" s="7">
        <v>53889</v>
      </c>
      <c r="C13" s="7">
        <v>31842</v>
      </c>
      <c r="D13" s="7">
        <v>19664</v>
      </c>
      <c r="E13" s="7">
        <v>21232</v>
      </c>
      <c r="F13" s="7">
        <v>20452</v>
      </c>
      <c r="G13" s="7">
        <v>18697</v>
      </c>
      <c r="H13" s="7">
        <v>17609</v>
      </c>
      <c r="I13" s="7">
        <v>19682</v>
      </c>
      <c r="J13" s="7">
        <v>20151</v>
      </c>
      <c r="K13" s="7">
        <v>16758</v>
      </c>
      <c r="L13" s="7">
        <v>13728</v>
      </c>
      <c r="M13" s="7">
        <v>13280</v>
      </c>
      <c r="N13" s="7">
        <v>12440</v>
      </c>
      <c r="O13" s="7">
        <v>7997</v>
      </c>
      <c r="P13" s="7">
        <v>7886</v>
      </c>
    </row>
    <row r="14" spans="1:18" x14ac:dyDescent="0.35">
      <c r="A14" s="4" t="s">
        <v>27</v>
      </c>
      <c r="B14" s="7">
        <v>46656</v>
      </c>
      <c r="C14" s="7">
        <v>21533</v>
      </c>
      <c r="D14" s="7">
        <v>14955</v>
      </c>
      <c r="E14" s="7">
        <v>17382</v>
      </c>
      <c r="F14" s="7">
        <v>17648</v>
      </c>
      <c r="G14" s="7">
        <v>16797</v>
      </c>
      <c r="H14" s="7">
        <v>15891</v>
      </c>
      <c r="I14" s="7">
        <v>16614</v>
      </c>
      <c r="J14" s="7">
        <v>16268</v>
      </c>
      <c r="K14" s="7">
        <v>13777</v>
      </c>
      <c r="L14" s="7">
        <v>10880</v>
      </c>
      <c r="M14" s="7">
        <v>9467</v>
      </c>
      <c r="N14" s="7">
        <v>7850</v>
      </c>
      <c r="O14" s="7">
        <v>4948</v>
      </c>
      <c r="P14" s="7">
        <v>4986</v>
      </c>
    </row>
    <row r="15" spans="1:18" x14ac:dyDescent="0.35">
      <c r="A15" s="4" t="s">
        <v>28</v>
      </c>
      <c r="B15" s="7">
        <v>91457</v>
      </c>
      <c r="C15" s="7">
        <v>45974</v>
      </c>
      <c r="D15" s="7">
        <v>28616</v>
      </c>
      <c r="E15" s="7">
        <v>31165</v>
      </c>
      <c r="F15" s="7">
        <v>31558</v>
      </c>
      <c r="G15" s="7">
        <v>30587</v>
      </c>
      <c r="H15" s="7">
        <v>31442</v>
      </c>
      <c r="I15" s="7">
        <v>37218</v>
      </c>
      <c r="J15" s="7">
        <v>38643</v>
      </c>
      <c r="K15" s="7">
        <v>34647</v>
      </c>
      <c r="L15" s="7">
        <v>29284</v>
      </c>
      <c r="M15" s="7">
        <v>28625</v>
      </c>
      <c r="N15" s="7">
        <v>25214</v>
      </c>
      <c r="O15" s="7">
        <v>15834</v>
      </c>
      <c r="P15" s="7">
        <v>15843</v>
      </c>
    </row>
    <row r="17" spans="1:16" x14ac:dyDescent="0.35">
      <c r="A17" s="3" t="s">
        <v>29</v>
      </c>
    </row>
    <row r="20" spans="1:16" ht="15.5" x14ac:dyDescent="0.35">
      <c r="A20" s="1" t="s">
        <v>0</v>
      </c>
    </row>
    <row r="21" spans="1:16" x14ac:dyDescent="0.35">
      <c r="A21" s="3" t="s">
        <v>1</v>
      </c>
    </row>
    <row r="23" spans="1:16" x14ac:dyDescent="0.35">
      <c r="A23" s="4" t="s">
        <v>2</v>
      </c>
      <c r="B23" s="4">
        <v>2022</v>
      </c>
    </row>
    <row r="24" spans="1:16" x14ac:dyDescent="0.35">
      <c r="A24" s="4" t="s">
        <v>3</v>
      </c>
      <c r="B24" s="4">
        <v>2027</v>
      </c>
    </row>
    <row r="25" spans="1:16" x14ac:dyDescent="0.35">
      <c r="A25" s="4" t="s">
        <v>4</v>
      </c>
      <c r="B25" s="4" t="s">
        <v>5</v>
      </c>
    </row>
    <row r="27" spans="1:16" ht="26" customHeight="1" x14ac:dyDescent="0.35">
      <c r="A27" s="5" t="s">
        <v>6</v>
      </c>
      <c r="B27" s="6" t="s">
        <v>7</v>
      </c>
      <c r="C27" s="6" t="s">
        <v>8</v>
      </c>
      <c r="D27" s="6" t="s">
        <v>9</v>
      </c>
      <c r="E27" s="6" t="s">
        <v>10</v>
      </c>
      <c r="F27" s="6" t="s">
        <v>11</v>
      </c>
      <c r="G27" s="6" t="s">
        <v>12</v>
      </c>
      <c r="H27" s="6" t="s">
        <v>13</v>
      </c>
      <c r="I27" s="6" t="s">
        <v>14</v>
      </c>
      <c r="J27" s="6" t="s">
        <v>15</v>
      </c>
      <c r="K27" s="6" t="s">
        <v>16</v>
      </c>
      <c r="L27" s="6" t="s">
        <v>17</v>
      </c>
      <c r="M27" s="6" t="s">
        <v>18</v>
      </c>
      <c r="N27" s="6" t="s">
        <v>19</v>
      </c>
      <c r="O27" s="6" t="s">
        <v>20</v>
      </c>
      <c r="P27" s="6" t="s">
        <v>21</v>
      </c>
    </row>
    <row r="28" spans="1:16" x14ac:dyDescent="0.35">
      <c r="A28" s="4" t="s">
        <v>22</v>
      </c>
      <c r="B28" s="7">
        <v>31863</v>
      </c>
      <c r="C28" s="7">
        <v>34985</v>
      </c>
      <c r="D28" s="7">
        <v>10525</v>
      </c>
      <c r="E28" s="7">
        <v>12915</v>
      </c>
      <c r="F28" s="7">
        <v>13482</v>
      </c>
      <c r="G28" s="7">
        <v>12501</v>
      </c>
      <c r="H28" s="7">
        <v>11812</v>
      </c>
      <c r="I28" s="7">
        <v>11266</v>
      </c>
      <c r="J28" s="7">
        <v>12495</v>
      </c>
      <c r="K28" s="7">
        <v>12376</v>
      </c>
      <c r="L28" s="7">
        <v>10686</v>
      </c>
      <c r="M28" s="7">
        <v>8981</v>
      </c>
      <c r="N28" s="7">
        <v>8593</v>
      </c>
      <c r="O28" s="7">
        <v>7094</v>
      </c>
      <c r="P28" s="7">
        <v>6187</v>
      </c>
    </row>
    <row r="29" spans="1:16" x14ac:dyDescent="0.35">
      <c r="A29" s="4" t="s">
        <v>23</v>
      </c>
      <c r="B29" s="7">
        <v>78856</v>
      </c>
      <c r="C29" s="7">
        <v>89332</v>
      </c>
      <c r="D29" s="7">
        <v>52837</v>
      </c>
      <c r="E29" s="7">
        <v>48153</v>
      </c>
      <c r="F29" s="7">
        <v>41550</v>
      </c>
      <c r="G29" s="7">
        <v>34726</v>
      </c>
      <c r="H29" s="7">
        <v>29300</v>
      </c>
      <c r="I29" s="7">
        <v>24395</v>
      </c>
      <c r="J29" s="7">
        <v>23392</v>
      </c>
      <c r="K29" s="7">
        <v>22293</v>
      </c>
      <c r="L29" s="7">
        <v>18428</v>
      </c>
      <c r="M29" s="7">
        <v>14824</v>
      </c>
      <c r="N29" s="7">
        <v>12772</v>
      </c>
      <c r="O29" s="7">
        <v>9741</v>
      </c>
      <c r="P29" s="7">
        <v>8579</v>
      </c>
    </row>
    <row r="30" spans="1:16" x14ac:dyDescent="0.35">
      <c r="A30" s="4" t="s">
        <v>24</v>
      </c>
      <c r="B30" s="7">
        <v>110097</v>
      </c>
      <c r="C30" s="7">
        <v>66176</v>
      </c>
      <c r="D30" s="7">
        <v>37539</v>
      </c>
      <c r="E30" s="7">
        <v>41298</v>
      </c>
      <c r="F30" s="7">
        <v>45544</v>
      </c>
      <c r="G30" s="7">
        <v>43940</v>
      </c>
      <c r="H30" s="7">
        <v>42041</v>
      </c>
      <c r="I30" s="7">
        <v>40000</v>
      </c>
      <c r="J30" s="7">
        <v>46364</v>
      </c>
      <c r="K30" s="7">
        <v>48579</v>
      </c>
      <c r="L30" s="7">
        <v>42810</v>
      </c>
      <c r="M30" s="7">
        <v>35051</v>
      </c>
      <c r="N30" s="7">
        <v>32812</v>
      </c>
      <c r="O30" s="7">
        <v>26378</v>
      </c>
      <c r="P30" s="7">
        <v>22012</v>
      </c>
    </row>
    <row r="31" spans="1:16" x14ac:dyDescent="0.35">
      <c r="A31" s="4" t="s">
        <v>25</v>
      </c>
      <c r="B31" s="7">
        <v>36965</v>
      </c>
      <c r="C31" s="7">
        <v>19652</v>
      </c>
      <c r="D31" s="7">
        <v>11592</v>
      </c>
      <c r="E31" s="7">
        <v>12839</v>
      </c>
      <c r="F31" s="7">
        <v>14776</v>
      </c>
      <c r="G31" s="7">
        <v>14798</v>
      </c>
      <c r="H31" s="7">
        <v>14553</v>
      </c>
      <c r="I31" s="7">
        <v>13851</v>
      </c>
      <c r="J31" s="7">
        <v>15383</v>
      </c>
      <c r="K31" s="7">
        <v>15720</v>
      </c>
      <c r="L31" s="7">
        <v>13823</v>
      </c>
      <c r="M31" s="7">
        <v>11978</v>
      </c>
      <c r="N31" s="7">
        <v>12024</v>
      </c>
      <c r="O31" s="7">
        <v>10284</v>
      </c>
      <c r="P31" s="7">
        <v>8548</v>
      </c>
    </row>
    <row r="32" spans="1:16" x14ac:dyDescent="0.35">
      <c r="A32" s="4" t="s">
        <v>26</v>
      </c>
      <c r="B32" s="7">
        <v>54524</v>
      </c>
      <c r="C32" s="7">
        <v>36415</v>
      </c>
      <c r="D32" s="7">
        <v>21805</v>
      </c>
      <c r="E32" s="7">
        <v>23349</v>
      </c>
      <c r="F32" s="7">
        <v>24003</v>
      </c>
      <c r="G32" s="7">
        <v>21752</v>
      </c>
      <c r="H32" s="7">
        <v>19227</v>
      </c>
      <c r="I32" s="7">
        <v>17499</v>
      </c>
      <c r="J32" s="7">
        <v>18879</v>
      </c>
      <c r="K32" s="7">
        <v>19009</v>
      </c>
      <c r="L32" s="7">
        <v>15701</v>
      </c>
      <c r="M32" s="7">
        <v>12943</v>
      </c>
      <c r="N32" s="7">
        <v>12231</v>
      </c>
      <c r="O32" s="7">
        <v>10505</v>
      </c>
      <c r="P32" s="7">
        <v>8950</v>
      </c>
    </row>
    <row r="33" spans="1:16" x14ac:dyDescent="0.35">
      <c r="A33" s="4" t="s">
        <v>27</v>
      </c>
      <c r="B33" s="7">
        <v>44001</v>
      </c>
      <c r="C33" s="7">
        <v>23728</v>
      </c>
      <c r="D33" s="7">
        <v>14988</v>
      </c>
      <c r="E33" s="7">
        <v>17138</v>
      </c>
      <c r="F33" s="7">
        <v>18573</v>
      </c>
      <c r="G33" s="7">
        <v>17921</v>
      </c>
      <c r="H33" s="7">
        <v>16718</v>
      </c>
      <c r="I33" s="7">
        <v>15554</v>
      </c>
      <c r="J33" s="7">
        <v>15934</v>
      </c>
      <c r="K33" s="7">
        <v>15405</v>
      </c>
      <c r="L33" s="7">
        <v>12852</v>
      </c>
      <c r="M33" s="7">
        <v>10083</v>
      </c>
      <c r="N33" s="7">
        <v>8475</v>
      </c>
      <c r="O33" s="7">
        <v>6495</v>
      </c>
      <c r="P33" s="7">
        <v>5490</v>
      </c>
    </row>
    <row r="34" spans="1:16" x14ac:dyDescent="0.35">
      <c r="A34" s="4" t="s">
        <v>28</v>
      </c>
      <c r="B34" s="7">
        <v>86592</v>
      </c>
      <c r="C34" s="7">
        <v>47428</v>
      </c>
      <c r="D34" s="7">
        <v>29091</v>
      </c>
      <c r="E34" s="7">
        <v>31891</v>
      </c>
      <c r="F34" s="7">
        <v>34954</v>
      </c>
      <c r="G34" s="7">
        <v>33524</v>
      </c>
      <c r="H34" s="7">
        <v>31745</v>
      </c>
      <c r="I34" s="7">
        <v>32229</v>
      </c>
      <c r="J34" s="7">
        <v>37592</v>
      </c>
      <c r="K34" s="7">
        <v>38705</v>
      </c>
      <c r="L34" s="7">
        <v>34457</v>
      </c>
      <c r="M34" s="7">
        <v>28487</v>
      </c>
      <c r="N34" s="7">
        <v>26636</v>
      </c>
      <c r="O34" s="7">
        <v>21737</v>
      </c>
      <c r="P34" s="7">
        <v>18363</v>
      </c>
    </row>
    <row r="36" spans="1:16" x14ac:dyDescent="0.35">
      <c r="A36" s="3" t="s">
        <v>29</v>
      </c>
    </row>
    <row r="39" spans="1:16" ht="15.5" x14ac:dyDescent="0.35">
      <c r="A39" s="1" t="s">
        <v>0</v>
      </c>
    </row>
    <row r="40" spans="1:16" x14ac:dyDescent="0.35">
      <c r="A40" s="3" t="s">
        <v>1</v>
      </c>
    </row>
    <row r="42" spans="1:16" x14ac:dyDescent="0.35">
      <c r="A42" s="4" t="s">
        <v>2</v>
      </c>
      <c r="B42" s="4">
        <v>2022</v>
      </c>
    </row>
    <row r="43" spans="1:16" x14ac:dyDescent="0.35">
      <c r="A43" s="4" t="s">
        <v>3</v>
      </c>
      <c r="B43" s="4">
        <v>2032</v>
      </c>
    </row>
    <row r="44" spans="1:16" x14ac:dyDescent="0.35">
      <c r="A44" s="4" t="s">
        <v>4</v>
      </c>
      <c r="B44" s="4" t="s">
        <v>5</v>
      </c>
    </row>
    <row r="46" spans="1:16" ht="26" customHeight="1" x14ac:dyDescent="0.35">
      <c r="A46" s="5" t="s">
        <v>6</v>
      </c>
      <c r="B46" s="6" t="s">
        <v>7</v>
      </c>
      <c r="C46" s="6" t="s">
        <v>8</v>
      </c>
      <c r="D46" s="6" t="s">
        <v>9</v>
      </c>
      <c r="E46" s="6" t="s">
        <v>10</v>
      </c>
      <c r="F46" s="6" t="s">
        <v>11</v>
      </c>
      <c r="G46" s="6" t="s">
        <v>12</v>
      </c>
      <c r="H46" s="6" t="s">
        <v>13</v>
      </c>
      <c r="I46" s="6" t="s">
        <v>14</v>
      </c>
      <c r="J46" s="6" t="s">
        <v>15</v>
      </c>
      <c r="K46" s="6" t="s">
        <v>16</v>
      </c>
      <c r="L46" s="6" t="s">
        <v>17</v>
      </c>
      <c r="M46" s="6" t="s">
        <v>18</v>
      </c>
      <c r="N46" s="6" t="s">
        <v>19</v>
      </c>
      <c r="O46" s="6" t="s">
        <v>20</v>
      </c>
      <c r="P46" s="6" t="s">
        <v>21</v>
      </c>
    </row>
    <row r="47" spans="1:16" x14ac:dyDescent="0.35">
      <c r="A47" s="4" t="s">
        <v>22</v>
      </c>
      <c r="B47" s="7">
        <v>31217</v>
      </c>
      <c r="C47" s="7">
        <v>36319</v>
      </c>
      <c r="D47" s="7">
        <v>10616</v>
      </c>
      <c r="E47" s="7">
        <v>12395</v>
      </c>
      <c r="F47" s="7">
        <v>13921</v>
      </c>
      <c r="G47" s="7">
        <v>14284</v>
      </c>
      <c r="H47" s="7">
        <v>12962</v>
      </c>
      <c r="I47" s="7">
        <v>11967</v>
      </c>
      <c r="J47" s="7">
        <v>11126</v>
      </c>
      <c r="K47" s="7">
        <v>12080</v>
      </c>
      <c r="L47" s="7">
        <v>11794</v>
      </c>
      <c r="M47" s="7">
        <v>10160</v>
      </c>
      <c r="N47" s="7">
        <v>8291</v>
      </c>
      <c r="O47" s="7">
        <v>7462</v>
      </c>
      <c r="P47" s="7">
        <v>7935</v>
      </c>
    </row>
    <row r="48" spans="1:16" x14ac:dyDescent="0.35">
      <c r="A48" s="4" t="s">
        <v>23</v>
      </c>
      <c r="B48" s="7">
        <v>76058</v>
      </c>
      <c r="C48" s="7">
        <v>92514</v>
      </c>
      <c r="D48" s="7">
        <v>56826</v>
      </c>
      <c r="E48" s="7">
        <v>51015</v>
      </c>
      <c r="F48" s="7">
        <v>43621</v>
      </c>
      <c r="G48" s="7">
        <v>37025</v>
      </c>
      <c r="H48" s="7">
        <v>31437</v>
      </c>
      <c r="I48" s="7">
        <v>26600</v>
      </c>
      <c r="J48" s="7">
        <v>21963</v>
      </c>
      <c r="K48" s="7">
        <v>20873</v>
      </c>
      <c r="L48" s="7">
        <v>19633</v>
      </c>
      <c r="M48" s="7">
        <v>16145</v>
      </c>
      <c r="N48" s="7">
        <v>12519</v>
      </c>
      <c r="O48" s="7">
        <v>10120</v>
      </c>
      <c r="P48" s="7">
        <v>10242</v>
      </c>
    </row>
    <row r="49" spans="1:16" x14ac:dyDescent="0.35">
      <c r="A49" s="4" t="s">
        <v>24</v>
      </c>
      <c r="B49" s="7">
        <v>105467</v>
      </c>
      <c r="C49" s="7">
        <v>68527</v>
      </c>
      <c r="D49" s="7">
        <v>39102</v>
      </c>
      <c r="E49" s="7">
        <v>41845</v>
      </c>
      <c r="F49" s="7">
        <v>45772</v>
      </c>
      <c r="G49" s="7">
        <v>48895</v>
      </c>
      <c r="H49" s="7">
        <v>45769</v>
      </c>
      <c r="I49" s="7">
        <v>42974</v>
      </c>
      <c r="J49" s="7">
        <v>40693</v>
      </c>
      <c r="K49" s="7">
        <v>46621</v>
      </c>
      <c r="L49" s="7">
        <v>47973</v>
      </c>
      <c r="M49" s="7">
        <v>41186</v>
      </c>
      <c r="N49" s="7">
        <v>32285</v>
      </c>
      <c r="O49" s="7">
        <v>28019</v>
      </c>
      <c r="P49" s="7">
        <v>28675</v>
      </c>
    </row>
    <row r="50" spans="1:16" x14ac:dyDescent="0.35">
      <c r="A50" s="4" t="s">
        <v>25</v>
      </c>
      <c r="B50" s="7">
        <v>35529</v>
      </c>
      <c r="C50" s="7">
        <v>20290</v>
      </c>
      <c r="D50" s="7">
        <v>12013</v>
      </c>
      <c r="E50" s="7">
        <v>13439</v>
      </c>
      <c r="F50" s="7">
        <v>15091</v>
      </c>
      <c r="G50" s="7">
        <v>16255</v>
      </c>
      <c r="H50" s="7">
        <v>15543</v>
      </c>
      <c r="I50" s="7">
        <v>14715</v>
      </c>
      <c r="J50" s="7">
        <v>13827</v>
      </c>
      <c r="K50" s="7">
        <v>15248</v>
      </c>
      <c r="L50" s="7">
        <v>15383</v>
      </c>
      <c r="M50" s="7">
        <v>13323</v>
      </c>
      <c r="N50" s="7">
        <v>11156</v>
      </c>
      <c r="O50" s="7">
        <v>10344</v>
      </c>
      <c r="P50" s="7">
        <v>11310</v>
      </c>
    </row>
    <row r="51" spans="1:16" x14ac:dyDescent="0.35">
      <c r="A51" s="4" t="s">
        <v>26</v>
      </c>
      <c r="B51" s="7">
        <v>54601</v>
      </c>
      <c r="C51" s="7">
        <v>38421</v>
      </c>
      <c r="D51" s="7">
        <v>23569</v>
      </c>
      <c r="E51" s="7">
        <v>24646</v>
      </c>
      <c r="F51" s="7">
        <v>25525</v>
      </c>
      <c r="G51" s="7">
        <v>24739</v>
      </c>
      <c r="H51" s="7">
        <v>21891</v>
      </c>
      <c r="I51" s="7">
        <v>19002</v>
      </c>
      <c r="J51" s="7">
        <v>16825</v>
      </c>
      <c r="K51" s="7">
        <v>17828</v>
      </c>
      <c r="L51" s="7">
        <v>17767</v>
      </c>
      <c r="M51" s="7">
        <v>14825</v>
      </c>
      <c r="N51" s="7">
        <v>11959</v>
      </c>
      <c r="O51" s="7">
        <v>10501</v>
      </c>
      <c r="P51" s="7">
        <v>11499</v>
      </c>
    </row>
    <row r="52" spans="1:16" x14ac:dyDescent="0.35">
      <c r="A52" s="4" t="s">
        <v>27</v>
      </c>
      <c r="B52" s="7">
        <v>40557</v>
      </c>
      <c r="C52" s="7">
        <v>24728</v>
      </c>
      <c r="D52" s="7">
        <v>15425</v>
      </c>
      <c r="E52" s="7">
        <v>16797</v>
      </c>
      <c r="F52" s="7">
        <v>18125</v>
      </c>
      <c r="G52" s="7">
        <v>18690</v>
      </c>
      <c r="H52" s="7">
        <v>17690</v>
      </c>
      <c r="I52" s="7">
        <v>16302</v>
      </c>
      <c r="J52" s="7">
        <v>14864</v>
      </c>
      <c r="K52" s="7">
        <v>15071</v>
      </c>
      <c r="L52" s="7">
        <v>14371</v>
      </c>
      <c r="M52" s="7">
        <v>11930</v>
      </c>
      <c r="N52" s="7">
        <v>9048</v>
      </c>
      <c r="O52" s="7">
        <v>7063</v>
      </c>
      <c r="P52" s="7">
        <v>7055</v>
      </c>
    </row>
    <row r="53" spans="1:16" x14ac:dyDescent="0.35">
      <c r="A53" s="4" t="s">
        <v>28</v>
      </c>
      <c r="B53" s="7">
        <v>81320</v>
      </c>
      <c r="C53" s="7">
        <v>48271</v>
      </c>
      <c r="D53" s="7">
        <v>29702</v>
      </c>
      <c r="E53" s="7">
        <v>31851</v>
      </c>
      <c r="F53" s="7">
        <v>35324</v>
      </c>
      <c r="G53" s="7">
        <v>36813</v>
      </c>
      <c r="H53" s="7">
        <v>34509</v>
      </c>
      <c r="I53" s="7">
        <v>32725</v>
      </c>
      <c r="J53" s="7">
        <v>32728</v>
      </c>
      <c r="K53" s="7">
        <v>37666</v>
      </c>
      <c r="L53" s="7">
        <v>38516</v>
      </c>
      <c r="M53" s="7">
        <v>33546</v>
      </c>
      <c r="N53" s="7">
        <v>26603</v>
      </c>
      <c r="O53" s="7">
        <v>23178</v>
      </c>
      <c r="P53" s="7">
        <v>24471</v>
      </c>
    </row>
    <row r="55" spans="1:16" x14ac:dyDescent="0.35">
      <c r="A55" s="3" t="s">
        <v>29</v>
      </c>
    </row>
    <row r="58" spans="1:16" ht="15.5" x14ac:dyDescent="0.35">
      <c r="A58" s="1" t="s">
        <v>0</v>
      </c>
    </row>
    <row r="59" spans="1:16" x14ac:dyDescent="0.35">
      <c r="A59" s="3" t="s">
        <v>1</v>
      </c>
    </row>
    <row r="61" spans="1:16" x14ac:dyDescent="0.35">
      <c r="A61" s="4" t="s">
        <v>2</v>
      </c>
      <c r="B61" s="4">
        <v>2022</v>
      </c>
    </row>
    <row r="62" spans="1:16" x14ac:dyDescent="0.35">
      <c r="A62" s="4" t="s">
        <v>3</v>
      </c>
      <c r="B62" s="4">
        <v>2037</v>
      </c>
    </row>
    <row r="63" spans="1:16" x14ac:dyDescent="0.35">
      <c r="A63" s="4" t="s">
        <v>4</v>
      </c>
      <c r="B63" s="4" t="s">
        <v>5</v>
      </c>
    </row>
    <row r="65" spans="1:16" ht="26" customHeight="1" x14ac:dyDescent="0.35">
      <c r="A65" s="5" t="s">
        <v>6</v>
      </c>
      <c r="B65" s="6" t="s">
        <v>7</v>
      </c>
      <c r="C65" s="6" t="s">
        <v>8</v>
      </c>
      <c r="D65" s="6" t="s">
        <v>9</v>
      </c>
      <c r="E65" s="6" t="s">
        <v>10</v>
      </c>
      <c r="F65" s="6" t="s">
        <v>11</v>
      </c>
      <c r="G65" s="6" t="s">
        <v>12</v>
      </c>
      <c r="H65" s="6" t="s">
        <v>13</v>
      </c>
      <c r="I65" s="6" t="s">
        <v>14</v>
      </c>
      <c r="J65" s="6" t="s">
        <v>15</v>
      </c>
      <c r="K65" s="6" t="s">
        <v>16</v>
      </c>
      <c r="L65" s="6" t="s">
        <v>17</v>
      </c>
      <c r="M65" s="6" t="s">
        <v>18</v>
      </c>
      <c r="N65" s="6" t="s">
        <v>19</v>
      </c>
      <c r="O65" s="6" t="s">
        <v>20</v>
      </c>
      <c r="P65" s="6" t="s">
        <v>21</v>
      </c>
    </row>
    <row r="66" spans="1:16" x14ac:dyDescent="0.35">
      <c r="A66" s="4" t="s">
        <v>22</v>
      </c>
      <c r="B66" s="7">
        <v>31193</v>
      </c>
      <c r="C66" s="7">
        <v>34912</v>
      </c>
      <c r="D66" s="7">
        <v>11303</v>
      </c>
      <c r="E66" s="7">
        <v>12730</v>
      </c>
      <c r="F66" s="7">
        <v>13713</v>
      </c>
      <c r="G66" s="7">
        <v>14732</v>
      </c>
      <c r="H66" s="7">
        <v>14645</v>
      </c>
      <c r="I66" s="7">
        <v>13071</v>
      </c>
      <c r="J66" s="7">
        <v>11828</v>
      </c>
      <c r="K66" s="7">
        <v>10803</v>
      </c>
      <c r="L66" s="7">
        <v>11530</v>
      </c>
      <c r="M66" s="7">
        <v>11259</v>
      </c>
      <c r="N66" s="7">
        <v>9446</v>
      </c>
      <c r="O66" s="7">
        <v>7262</v>
      </c>
      <c r="P66" s="7">
        <v>9247</v>
      </c>
    </row>
    <row r="67" spans="1:16" x14ac:dyDescent="0.35">
      <c r="A67" s="4" t="s">
        <v>23</v>
      </c>
      <c r="B67" s="7">
        <v>77293</v>
      </c>
      <c r="C67" s="7">
        <v>88016</v>
      </c>
      <c r="D67" s="7">
        <v>60485</v>
      </c>
      <c r="E67" s="7">
        <v>54169</v>
      </c>
      <c r="F67" s="7">
        <v>45600</v>
      </c>
      <c r="G67" s="7">
        <v>38665</v>
      </c>
      <c r="H67" s="7">
        <v>33610</v>
      </c>
      <c r="I67" s="7">
        <v>28553</v>
      </c>
      <c r="J67" s="7">
        <v>23964</v>
      </c>
      <c r="K67" s="7">
        <v>19597</v>
      </c>
      <c r="L67" s="7">
        <v>18472</v>
      </c>
      <c r="M67" s="7">
        <v>17306</v>
      </c>
      <c r="N67" s="7">
        <v>13791</v>
      </c>
      <c r="O67" s="7">
        <v>10041</v>
      </c>
      <c r="P67" s="7">
        <v>11589</v>
      </c>
    </row>
    <row r="68" spans="1:16" x14ac:dyDescent="0.35">
      <c r="A68" s="4" t="s">
        <v>24</v>
      </c>
      <c r="B68" s="7">
        <v>104079</v>
      </c>
      <c r="C68" s="7">
        <v>65627</v>
      </c>
      <c r="D68" s="7">
        <v>42059</v>
      </c>
      <c r="E68" s="7">
        <v>43566</v>
      </c>
      <c r="F68" s="7">
        <v>46386</v>
      </c>
      <c r="G68" s="7">
        <v>49276</v>
      </c>
      <c r="H68" s="7">
        <v>50792</v>
      </c>
      <c r="I68" s="7">
        <v>46718</v>
      </c>
      <c r="J68" s="7">
        <v>43728</v>
      </c>
      <c r="K68" s="7">
        <v>41138</v>
      </c>
      <c r="L68" s="7">
        <v>46235</v>
      </c>
      <c r="M68" s="7">
        <v>46274</v>
      </c>
      <c r="N68" s="7">
        <v>38130</v>
      </c>
      <c r="O68" s="7">
        <v>27806</v>
      </c>
      <c r="P68" s="7">
        <v>33730</v>
      </c>
    </row>
    <row r="69" spans="1:16" x14ac:dyDescent="0.35">
      <c r="A69" s="4" t="s">
        <v>25</v>
      </c>
      <c r="B69" s="7">
        <v>35407</v>
      </c>
      <c r="C69" s="7">
        <v>19308</v>
      </c>
      <c r="D69" s="7">
        <v>12993</v>
      </c>
      <c r="E69" s="7">
        <v>14001</v>
      </c>
      <c r="F69" s="7">
        <v>15684</v>
      </c>
      <c r="G69" s="7">
        <v>16641</v>
      </c>
      <c r="H69" s="7">
        <v>17041</v>
      </c>
      <c r="I69" s="7">
        <v>15738</v>
      </c>
      <c r="J69" s="7">
        <v>14727</v>
      </c>
      <c r="K69" s="7">
        <v>13744</v>
      </c>
      <c r="L69" s="7">
        <v>14940</v>
      </c>
      <c r="M69" s="7">
        <v>14861</v>
      </c>
      <c r="N69" s="7">
        <v>12515</v>
      </c>
      <c r="O69" s="7">
        <v>9717</v>
      </c>
      <c r="P69" s="7">
        <v>12953</v>
      </c>
    </row>
    <row r="70" spans="1:16" x14ac:dyDescent="0.35">
      <c r="A70" s="4" t="s">
        <v>26</v>
      </c>
      <c r="B70" s="7">
        <v>56123</v>
      </c>
      <c r="C70" s="7">
        <v>37413</v>
      </c>
      <c r="D70" s="7">
        <v>25224</v>
      </c>
      <c r="E70" s="7">
        <v>26300</v>
      </c>
      <c r="F70" s="7">
        <v>26709</v>
      </c>
      <c r="G70" s="7">
        <v>26131</v>
      </c>
      <c r="H70" s="7">
        <v>24681</v>
      </c>
      <c r="I70" s="7">
        <v>21467</v>
      </c>
      <c r="J70" s="7">
        <v>18279</v>
      </c>
      <c r="K70" s="7">
        <v>15954</v>
      </c>
      <c r="L70" s="7">
        <v>16725</v>
      </c>
      <c r="M70" s="7">
        <v>16789</v>
      </c>
      <c r="N70" s="7">
        <v>13756</v>
      </c>
      <c r="O70" s="7">
        <v>10344</v>
      </c>
      <c r="P70" s="7">
        <v>12992</v>
      </c>
    </row>
    <row r="71" spans="1:16" x14ac:dyDescent="0.35">
      <c r="A71" s="4" t="s">
        <v>27</v>
      </c>
      <c r="B71" s="7">
        <v>38622</v>
      </c>
      <c r="C71" s="7">
        <v>23447</v>
      </c>
      <c r="D71" s="7">
        <v>16659</v>
      </c>
      <c r="E71" s="7">
        <v>17331</v>
      </c>
      <c r="F71" s="7">
        <v>17893</v>
      </c>
      <c r="G71" s="7">
        <v>18376</v>
      </c>
      <c r="H71" s="7">
        <v>18527</v>
      </c>
      <c r="I71" s="7">
        <v>17268</v>
      </c>
      <c r="J71" s="7">
        <v>15621</v>
      </c>
      <c r="K71" s="7">
        <v>14068</v>
      </c>
      <c r="L71" s="7">
        <v>14099</v>
      </c>
      <c r="M71" s="7">
        <v>13378</v>
      </c>
      <c r="N71" s="7">
        <v>10766</v>
      </c>
      <c r="O71" s="7">
        <v>7584</v>
      </c>
      <c r="P71" s="7">
        <v>8388</v>
      </c>
    </row>
    <row r="72" spans="1:16" x14ac:dyDescent="0.35">
      <c r="A72" s="4" t="s">
        <v>28</v>
      </c>
      <c r="B72" s="7">
        <v>78890</v>
      </c>
      <c r="C72" s="7">
        <v>45966</v>
      </c>
      <c r="D72" s="7">
        <v>31464</v>
      </c>
      <c r="E72" s="7">
        <v>32664</v>
      </c>
      <c r="F72" s="7">
        <v>35301</v>
      </c>
      <c r="G72" s="7">
        <v>37205</v>
      </c>
      <c r="H72" s="7">
        <v>37894</v>
      </c>
      <c r="I72" s="7">
        <v>35476</v>
      </c>
      <c r="J72" s="7">
        <v>33489</v>
      </c>
      <c r="K72" s="7">
        <v>33064</v>
      </c>
      <c r="L72" s="7">
        <v>37585</v>
      </c>
      <c r="M72" s="7">
        <v>37598</v>
      </c>
      <c r="N72" s="7">
        <v>31449</v>
      </c>
      <c r="O72" s="7">
        <v>23301</v>
      </c>
      <c r="P72" s="7">
        <v>29104</v>
      </c>
    </row>
    <row r="74" spans="1:16" x14ac:dyDescent="0.35">
      <c r="A74" s="3" t="s">
        <v>29</v>
      </c>
    </row>
    <row r="77" spans="1:16" ht="15.5" x14ac:dyDescent="0.35">
      <c r="A77" s="1" t="s">
        <v>0</v>
      </c>
    </row>
    <row r="78" spans="1:16" x14ac:dyDescent="0.35">
      <c r="A78" s="3" t="s">
        <v>1</v>
      </c>
    </row>
    <row r="80" spans="1:16" x14ac:dyDescent="0.35">
      <c r="A80" s="4" t="s">
        <v>2</v>
      </c>
      <c r="B80" s="4">
        <v>2022</v>
      </c>
    </row>
    <row r="81" spans="1:16" x14ac:dyDescent="0.35">
      <c r="A81" s="4" t="s">
        <v>3</v>
      </c>
      <c r="B81" s="4">
        <v>2042</v>
      </c>
    </row>
    <row r="82" spans="1:16" x14ac:dyDescent="0.35">
      <c r="A82" s="4" t="s">
        <v>4</v>
      </c>
      <c r="B82" s="4" t="s">
        <v>5</v>
      </c>
    </row>
    <row r="84" spans="1:16" ht="26" customHeight="1" x14ac:dyDescent="0.35">
      <c r="A84" s="5" t="s">
        <v>6</v>
      </c>
      <c r="B84" s="6" t="s">
        <v>7</v>
      </c>
      <c r="C84" s="6" t="s">
        <v>8</v>
      </c>
      <c r="D84" s="6" t="s">
        <v>9</v>
      </c>
      <c r="E84" s="6" t="s">
        <v>10</v>
      </c>
      <c r="F84" s="6" t="s">
        <v>11</v>
      </c>
      <c r="G84" s="6" t="s">
        <v>12</v>
      </c>
      <c r="H84" s="6" t="s">
        <v>13</v>
      </c>
      <c r="I84" s="6" t="s">
        <v>14</v>
      </c>
      <c r="J84" s="6" t="s">
        <v>15</v>
      </c>
      <c r="K84" s="6" t="s">
        <v>16</v>
      </c>
      <c r="L84" s="6" t="s">
        <v>17</v>
      </c>
      <c r="M84" s="6" t="s">
        <v>18</v>
      </c>
      <c r="N84" s="6" t="s">
        <v>19</v>
      </c>
      <c r="O84" s="6" t="s">
        <v>20</v>
      </c>
      <c r="P84" s="6" t="s">
        <v>21</v>
      </c>
    </row>
    <row r="85" spans="1:16" x14ac:dyDescent="0.35">
      <c r="A85" s="4" t="s">
        <v>22</v>
      </c>
      <c r="B85" s="7">
        <v>31838</v>
      </c>
      <c r="C85" s="7">
        <v>33074</v>
      </c>
      <c r="D85" s="7">
        <v>11032</v>
      </c>
      <c r="E85" s="7">
        <v>13472</v>
      </c>
      <c r="F85" s="7">
        <v>14143</v>
      </c>
      <c r="G85" s="7">
        <v>14650</v>
      </c>
      <c r="H85" s="7">
        <v>15078</v>
      </c>
      <c r="I85" s="7">
        <v>14665</v>
      </c>
      <c r="J85" s="7">
        <v>12879</v>
      </c>
      <c r="K85" s="7">
        <v>11495</v>
      </c>
      <c r="L85" s="7">
        <v>10351</v>
      </c>
      <c r="M85" s="7">
        <v>11037</v>
      </c>
      <c r="N85" s="7">
        <v>10520</v>
      </c>
      <c r="O85" s="7">
        <v>8351</v>
      </c>
      <c r="P85" s="7">
        <v>9769</v>
      </c>
    </row>
    <row r="86" spans="1:16" x14ac:dyDescent="0.35">
      <c r="A86" s="4" t="s">
        <v>23</v>
      </c>
      <c r="B86" s="7">
        <v>80545</v>
      </c>
      <c r="C86" s="7">
        <v>82900</v>
      </c>
      <c r="D86" s="7">
        <v>58958</v>
      </c>
      <c r="E86" s="7">
        <v>57424</v>
      </c>
      <c r="F86" s="7">
        <v>48100</v>
      </c>
      <c r="G86" s="7">
        <v>40143</v>
      </c>
      <c r="H86" s="7">
        <v>34963</v>
      </c>
      <c r="I86" s="7">
        <v>30579</v>
      </c>
      <c r="J86" s="7">
        <v>25736</v>
      </c>
      <c r="K86" s="7">
        <v>21409</v>
      </c>
      <c r="L86" s="7">
        <v>17358</v>
      </c>
      <c r="M86" s="7">
        <v>16373</v>
      </c>
      <c r="N86" s="7">
        <v>14897</v>
      </c>
      <c r="O86" s="7">
        <v>11220</v>
      </c>
      <c r="P86" s="7">
        <v>12234</v>
      </c>
    </row>
    <row r="87" spans="1:16" x14ac:dyDescent="0.35">
      <c r="A87" s="4" t="s">
        <v>24</v>
      </c>
      <c r="B87" s="7">
        <v>106212</v>
      </c>
      <c r="C87" s="7">
        <v>61677</v>
      </c>
      <c r="D87" s="7">
        <v>41067</v>
      </c>
      <c r="E87" s="7">
        <v>46610</v>
      </c>
      <c r="F87" s="7">
        <v>48235</v>
      </c>
      <c r="G87" s="7">
        <v>49903</v>
      </c>
      <c r="H87" s="7">
        <v>51243</v>
      </c>
      <c r="I87" s="7">
        <v>51729</v>
      </c>
      <c r="J87" s="7">
        <v>47489</v>
      </c>
      <c r="K87" s="7">
        <v>44231</v>
      </c>
      <c r="L87" s="7">
        <v>41012</v>
      </c>
      <c r="M87" s="7">
        <v>44797</v>
      </c>
      <c r="N87" s="7">
        <v>43020</v>
      </c>
      <c r="O87" s="7">
        <v>33116</v>
      </c>
      <c r="P87" s="7">
        <v>36091</v>
      </c>
    </row>
    <row r="88" spans="1:16" x14ac:dyDescent="0.35">
      <c r="A88" s="4" t="s">
        <v>25</v>
      </c>
      <c r="B88" s="7">
        <v>36532</v>
      </c>
      <c r="C88" s="7">
        <v>18139</v>
      </c>
      <c r="D88" s="7">
        <v>12617</v>
      </c>
      <c r="E88" s="7">
        <v>15020</v>
      </c>
      <c r="F88" s="7">
        <v>16358</v>
      </c>
      <c r="G88" s="7">
        <v>17213</v>
      </c>
      <c r="H88" s="7">
        <v>17450</v>
      </c>
      <c r="I88" s="7">
        <v>17233</v>
      </c>
      <c r="J88" s="7">
        <v>15774</v>
      </c>
      <c r="K88" s="7">
        <v>14675</v>
      </c>
      <c r="L88" s="7">
        <v>13512</v>
      </c>
      <c r="M88" s="7">
        <v>14474</v>
      </c>
      <c r="N88" s="7">
        <v>14015</v>
      </c>
      <c r="O88" s="7">
        <v>11026</v>
      </c>
      <c r="P88" s="7">
        <v>13304</v>
      </c>
    </row>
    <row r="89" spans="1:16" x14ac:dyDescent="0.35">
      <c r="A89" s="4" t="s">
        <v>26</v>
      </c>
      <c r="B89" s="7">
        <v>58947</v>
      </c>
      <c r="C89" s="7">
        <v>35771</v>
      </c>
      <c r="D89" s="7">
        <v>24688</v>
      </c>
      <c r="E89" s="7">
        <v>27993</v>
      </c>
      <c r="F89" s="7">
        <v>28303</v>
      </c>
      <c r="G89" s="7">
        <v>27194</v>
      </c>
      <c r="H89" s="7">
        <v>25954</v>
      </c>
      <c r="I89" s="7">
        <v>24066</v>
      </c>
      <c r="J89" s="7">
        <v>20539</v>
      </c>
      <c r="K89" s="7">
        <v>17353</v>
      </c>
      <c r="L89" s="7">
        <v>15027</v>
      </c>
      <c r="M89" s="7">
        <v>15879</v>
      </c>
      <c r="N89" s="7">
        <v>15621</v>
      </c>
      <c r="O89" s="7">
        <v>11998</v>
      </c>
      <c r="P89" s="7">
        <v>13688</v>
      </c>
    </row>
    <row r="90" spans="1:16" x14ac:dyDescent="0.35">
      <c r="A90" s="4" t="s">
        <v>27</v>
      </c>
      <c r="B90" s="7">
        <v>38452</v>
      </c>
      <c r="C90" s="7">
        <v>21532</v>
      </c>
      <c r="D90" s="7">
        <v>16256</v>
      </c>
      <c r="E90" s="7">
        <v>18545</v>
      </c>
      <c r="F90" s="7">
        <v>18457</v>
      </c>
      <c r="G90" s="7">
        <v>18201</v>
      </c>
      <c r="H90" s="7">
        <v>18289</v>
      </c>
      <c r="I90" s="7">
        <v>18137</v>
      </c>
      <c r="J90" s="7">
        <v>16556</v>
      </c>
      <c r="K90" s="7">
        <v>14826</v>
      </c>
      <c r="L90" s="7">
        <v>13178</v>
      </c>
      <c r="M90" s="7">
        <v>13171</v>
      </c>
      <c r="N90" s="7">
        <v>12128</v>
      </c>
      <c r="O90" s="7">
        <v>9104</v>
      </c>
      <c r="P90" s="7">
        <v>9411</v>
      </c>
    </row>
    <row r="91" spans="1:16" x14ac:dyDescent="0.35">
      <c r="A91" s="4" t="s">
        <v>28</v>
      </c>
      <c r="B91" s="7">
        <v>79517</v>
      </c>
      <c r="C91" s="7">
        <v>43054</v>
      </c>
      <c r="D91" s="7">
        <v>30734</v>
      </c>
      <c r="E91" s="7">
        <v>34560</v>
      </c>
      <c r="F91" s="7">
        <v>36262</v>
      </c>
      <c r="G91" s="7">
        <v>37193</v>
      </c>
      <c r="H91" s="7">
        <v>38288</v>
      </c>
      <c r="I91" s="7">
        <v>38900</v>
      </c>
      <c r="J91" s="7">
        <v>36216</v>
      </c>
      <c r="K91" s="7">
        <v>34060</v>
      </c>
      <c r="L91" s="7">
        <v>33247</v>
      </c>
      <c r="M91" s="7">
        <v>36819</v>
      </c>
      <c r="N91" s="7">
        <v>35404</v>
      </c>
      <c r="O91" s="7">
        <v>27746</v>
      </c>
      <c r="P91" s="7">
        <v>31529</v>
      </c>
    </row>
    <row r="93" spans="1:16" x14ac:dyDescent="0.35">
      <c r="A93" s="3" t="s">
        <v>29</v>
      </c>
    </row>
    <row r="96" spans="1:16" ht="15.5" x14ac:dyDescent="0.35">
      <c r="A96" s="1" t="s">
        <v>0</v>
      </c>
    </row>
    <row r="97" spans="1:16" x14ac:dyDescent="0.35">
      <c r="A97" s="3" t="s">
        <v>1</v>
      </c>
    </row>
    <row r="99" spans="1:16" x14ac:dyDescent="0.35">
      <c r="A99" s="4" t="s">
        <v>2</v>
      </c>
      <c r="B99" s="4">
        <v>2022</v>
      </c>
    </row>
    <row r="100" spans="1:16" x14ac:dyDescent="0.35">
      <c r="A100" s="4" t="s">
        <v>3</v>
      </c>
      <c r="B100" s="4">
        <v>2047</v>
      </c>
    </row>
    <row r="101" spans="1:16" x14ac:dyDescent="0.35">
      <c r="A101" s="4" t="s">
        <v>4</v>
      </c>
      <c r="B101" s="4" t="s">
        <v>5</v>
      </c>
    </row>
    <row r="103" spans="1:16" ht="26" customHeight="1" x14ac:dyDescent="0.35">
      <c r="A103" s="5" t="s">
        <v>6</v>
      </c>
      <c r="B103" s="6" t="s">
        <v>7</v>
      </c>
      <c r="C103" s="6" t="s">
        <v>8</v>
      </c>
      <c r="D103" s="6" t="s">
        <v>9</v>
      </c>
      <c r="E103" s="6" t="s">
        <v>10</v>
      </c>
      <c r="F103" s="6" t="s">
        <v>11</v>
      </c>
      <c r="G103" s="6" t="s">
        <v>12</v>
      </c>
      <c r="H103" s="6" t="s">
        <v>13</v>
      </c>
      <c r="I103" s="6" t="s">
        <v>14</v>
      </c>
      <c r="J103" s="6" t="s">
        <v>15</v>
      </c>
      <c r="K103" s="6" t="s">
        <v>16</v>
      </c>
      <c r="L103" s="6" t="s">
        <v>17</v>
      </c>
      <c r="M103" s="6" t="s">
        <v>18</v>
      </c>
      <c r="N103" s="6" t="s">
        <v>19</v>
      </c>
      <c r="O103" s="6" t="s">
        <v>20</v>
      </c>
      <c r="P103" s="6" t="s">
        <v>21</v>
      </c>
    </row>
    <row r="104" spans="1:16" x14ac:dyDescent="0.35">
      <c r="A104" s="4" t="s">
        <v>22</v>
      </c>
      <c r="B104" s="7">
        <v>32635</v>
      </c>
      <c r="C104" s="7">
        <v>32378</v>
      </c>
      <c r="D104" s="7">
        <v>10495</v>
      </c>
      <c r="E104" s="7">
        <v>13172</v>
      </c>
      <c r="F104" s="7">
        <v>14934</v>
      </c>
      <c r="G104" s="7">
        <v>15136</v>
      </c>
      <c r="H104" s="7">
        <v>15061</v>
      </c>
      <c r="I104" s="7">
        <v>15079</v>
      </c>
      <c r="J104" s="7">
        <v>14379</v>
      </c>
      <c r="K104" s="7">
        <v>12490</v>
      </c>
      <c r="L104" s="7">
        <v>11024</v>
      </c>
      <c r="M104" s="7">
        <v>9950</v>
      </c>
      <c r="N104" s="7">
        <v>10360</v>
      </c>
      <c r="O104" s="7">
        <v>9373</v>
      </c>
      <c r="P104" s="7">
        <v>10966</v>
      </c>
    </row>
    <row r="105" spans="1:16" x14ac:dyDescent="0.35">
      <c r="A105" s="4" t="s">
        <v>23</v>
      </c>
      <c r="B105" s="7">
        <v>83572</v>
      </c>
      <c r="C105" s="7">
        <v>80947</v>
      </c>
      <c r="D105" s="7">
        <v>55790</v>
      </c>
      <c r="E105" s="7">
        <v>56033</v>
      </c>
      <c r="F105" s="7">
        <v>50844</v>
      </c>
      <c r="G105" s="7">
        <v>42199</v>
      </c>
      <c r="H105" s="7">
        <v>36167</v>
      </c>
      <c r="I105" s="7">
        <v>31738</v>
      </c>
      <c r="J105" s="7">
        <v>27611</v>
      </c>
      <c r="K105" s="7">
        <v>23013</v>
      </c>
      <c r="L105" s="7">
        <v>19002</v>
      </c>
      <c r="M105" s="7">
        <v>15419</v>
      </c>
      <c r="N105" s="7">
        <v>14198</v>
      </c>
      <c r="O105" s="7">
        <v>12261</v>
      </c>
      <c r="P105" s="7">
        <v>13563</v>
      </c>
    </row>
    <row r="106" spans="1:16" x14ac:dyDescent="0.35">
      <c r="A106" s="4" t="s">
        <v>24</v>
      </c>
      <c r="B106" s="7">
        <v>108973</v>
      </c>
      <c r="C106" s="7">
        <v>60160</v>
      </c>
      <c r="D106" s="7">
        <v>38870</v>
      </c>
      <c r="E106" s="7">
        <v>45552</v>
      </c>
      <c r="F106" s="7">
        <v>51439</v>
      </c>
      <c r="G106" s="7">
        <v>51866</v>
      </c>
      <c r="H106" s="7">
        <v>51868</v>
      </c>
      <c r="I106" s="7">
        <v>52236</v>
      </c>
      <c r="J106" s="7">
        <v>52490</v>
      </c>
      <c r="K106" s="7">
        <v>47988</v>
      </c>
      <c r="L106" s="7">
        <v>44138</v>
      </c>
      <c r="M106" s="7">
        <v>39925</v>
      </c>
      <c r="N106" s="7">
        <v>41895</v>
      </c>
      <c r="O106" s="7">
        <v>37637</v>
      </c>
      <c r="P106" s="7">
        <v>41576</v>
      </c>
    </row>
    <row r="107" spans="1:16" x14ac:dyDescent="0.35">
      <c r="A107" s="4" t="s">
        <v>25</v>
      </c>
      <c r="B107" s="7">
        <v>37737</v>
      </c>
      <c r="C107" s="7">
        <v>17862</v>
      </c>
      <c r="D107" s="7">
        <v>11890</v>
      </c>
      <c r="E107" s="7">
        <v>14632</v>
      </c>
      <c r="F107" s="7">
        <v>17464</v>
      </c>
      <c r="G107" s="7">
        <v>17955</v>
      </c>
      <c r="H107" s="7">
        <v>17996</v>
      </c>
      <c r="I107" s="7">
        <v>17644</v>
      </c>
      <c r="J107" s="7">
        <v>17258</v>
      </c>
      <c r="K107" s="7">
        <v>15740</v>
      </c>
      <c r="L107" s="7">
        <v>14465</v>
      </c>
      <c r="M107" s="7">
        <v>13135</v>
      </c>
      <c r="N107" s="7">
        <v>13717</v>
      </c>
      <c r="O107" s="7">
        <v>12440</v>
      </c>
      <c r="P107" s="7">
        <v>14670</v>
      </c>
    </row>
    <row r="108" spans="1:16" x14ac:dyDescent="0.35">
      <c r="A108" s="4" t="s">
        <v>26</v>
      </c>
      <c r="B108" s="7">
        <v>61334</v>
      </c>
      <c r="C108" s="7">
        <v>35536</v>
      </c>
      <c r="D108" s="7">
        <v>23416</v>
      </c>
      <c r="E108" s="7">
        <v>27394</v>
      </c>
      <c r="F108" s="7">
        <v>30038</v>
      </c>
      <c r="G108" s="7">
        <v>28719</v>
      </c>
      <c r="H108" s="7">
        <v>26925</v>
      </c>
      <c r="I108" s="7">
        <v>25239</v>
      </c>
      <c r="J108" s="7">
        <v>22944</v>
      </c>
      <c r="K108" s="7">
        <v>19429</v>
      </c>
      <c r="L108" s="7">
        <v>16359</v>
      </c>
      <c r="M108" s="7">
        <v>14328</v>
      </c>
      <c r="N108" s="7">
        <v>14866</v>
      </c>
      <c r="O108" s="7">
        <v>13707</v>
      </c>
      <c r="P108" s="7">
        <v>15416</v>
      </c>
    </row>
    <row r="109" spans="1:16" x14ac:dyDescent="0.35">
      <c r="A109" s="4" t="s">
        <v>27</v>
      </c>
      <c r="B109" s="7">
        <v>38789</v>
      </c>
      <c r="C109" s="7">
        <v>20495</v>
      </c>
      <c r="D109" s="7">
        <v>15281</v>
      </c>
      <c r="E109" s="7">
        <v>18119</v>
      </c>
      <c r="F109" s="7">
        <v>19656</v>
      </c>
      <c r="G109" s="7">
        <v>18773</v>
      </c>
      <c r="H109" s="7">
        <v>18152</v>
      </c>
      <c r="I109" s="7">
        <v>17959</v>
      </c>
      <c r="J109" s="7">
        <v>17427</v>
      </c>
      <c r="K109" s="7">
        <v>15724</v>
      </c>
      <c r="L109" s="7">
        <v>13933</v>
      </c>
      <c r="M109" s="7">
        <v>12338</v>
      </c>
      <c r="N109" s="7">
        <v>12001</v>
      </c>
      <c r="O109" s="7">
        <v>10334</v>
      </c>
      <c r="P109" s="7">
        <v>11109</v>
      </c>
    </row>
    <row r="110" spans="1:16" x14ac:dyDescent="0.35">
      <c r="A110" s="4" t="s">
        <v>28</v>
      </c>
      <c r="B110" s="7">
        <v>80847</v>
      </c>
      <c r="C110" s="7">
        <v>41879</v>
      </c>
      <c r="D110" s="7">
        <v>29200</v>
      </c>
      <c r="E110" s="7">
        <v>33794</v>
      </c>
      <c r="F110" s="7">
        <v>38334</v>
      </c>
      <c r="G110" s="7">
        <v>38262</v>
      </c>
      <c r="H110" s="7">
        <v>38286</v>
      </c>
      <c r="I110" s="7">
        <v>39299</v>
      </c>
      <c r="J110" s="7">
        <v>39659</v>
      </c>
      <c r="K110" s="7">
        <v>36749</v>
      </c>
      <c r="L110" s="7">
        <v>34451</v>
      </c>
      <c r="M110" s="7">
        <v>32779</v>
      </c>
      <c r="N110" s="7">
        <v>34849</v>
      </c>
      <c r="O110" s="7">
        <v>31467</v>
      </c>
      <c r="P110" s="7">
        <v>36375</v>
      </c>
    </row>
    <row r="112" spans="1:16" x14ac:dyDescent="0.35">
      <c r="A112" s="3" t="s">
        <v>29</v>
      </c>
    </row>
  </sheetData>
  <pageMargins left="0.7" right="0.7" top="0.75" bottom="0.75" header="0.3" footer="0.3"/>
  <tableParts count="6">
    <tablePart r:id="rId1"/>
    <tablePart r:id="rId2"/>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365E1-2CDE-4094-9DA4-F66C71DB1636}">
  <dimension ref="A1:I6"/>
  <sheetViews>
    <sheetView tabSelected="1" workbookViewId="0"/>
  </sheetViews>
  <sheetFormatPr defaultRowHeight="14.5" x14ac:dyDescent="0.35"/>
  <cols>
    <col min="1" max="1" width="40" bestFit="1" customWidth="1"/>
    <col min="2" max="2" width="10.54296875" bestFit="1" customWidth="1"/>
    <col min="3" max="3" width="11.54296875" bestFit="1" customWidth="1"/>
    <col min="4" max="8" width="9.81640625" bestFit="1" customWidth="1"/>
    <col min="9" max="9" width="14.453125" bestFit="1" customWidth="1"/>
  </cols>
  <sheetData>
    <row r="1" spans="1:9" x14ac:dyDescent="0.35">
      <c r="A1" t="s">
        <v>57</v>
      </c>
      <c r="B1" t="s">
        <v>7</v>
      </c>
      <c r="C1" t="s">
        <v>8</v>
      </c>
      <c r="D1" t="s">
        <v>30</v>
      </c>
      <c r="E1" t="s">
        <v>31</v>
      </c>
      <c r="F1" t="s">
        <v>32</v>
      </c>
      <c r="G1" t="s">
        <v>33</v>
      </c>
      <c r="H1" t="s">
        <v>34</v>
      </c>
      <c r="I1" t="s">
        <v>35</v>
      </c>
    </row>
    <row r="2" spans="1:9" x14ac:dyDescent="0.35">
      <c r="A2" t="s">
        <v>36</v>
      </c>
      <c r="B2">
        <v>-16446</v>
      </c>
      <c r="C2">
        <v>29738</v>
      </c>
      <c r="D2">
        <v>19523</v>
      </c>
      <c r="E2">
        <v>36026</v>
      </c>
      <c r="F2">
        <v>-8136</v>
      </c>
      <c r="G2">
        <v>10161</v>
      </c>
      <c r="H2">
        <v>16746</v>
      </c>
      <c r="I2">
        <v>34811</v>
      </c>
    </row>
    <row r="3" spans="1:9" x14ac:dyDescent="0.35">
      <c r="A3" t="s">
        <v>37</v>
      </c>
      <c r="B3">
        <v>-18149</v>
      </c>
      <c r="C3">
        <v>11354</v>
      </c>
      <c r="D3">
        <v>13281</v>
      </c>
      <c r="E3">
        <v>22036</v>
      </c>
      <c r="F3">
        <v>23896</v>
      </c>
      <c r="G3">
        <v>-24713</v>
      </c>
      <c r="H3">
        <v>35448</v>
      </c>
      <c r="I3">
        <v>25829</v>
      </c>
    </row>
    <row r="4" spans="1:9" x14ac:dyDescent="0.35">
      <c r="A4" t="s">
        <v>38</v>
      </c>
      <c r="B4">
        <v>-3142</v>
      </c>
      <c r="C4">
        <v>-14381</v>
      </c>
      <c r="D4">
        <v>21707</v>
      </c>
      <c r="E4">
        <v>8232</v>
      </c>
      <c r="F4">
        <v>31395</v>
      </c>
      <c r="G4">
        <v>-7409</v>
      </c>
      <c r="H4">
        <v>10499</v>
      </c>
      <c r="I4">
        <v>34176</v>
      </c>
    </row>
    <row r="5" spans="1:9" x14ac:dyDescent="0.35">
      <c r="A5" t="s">
        <v>39</v>
      </c>
      <c r="B5">
        <v>10436</v>
      </c>
      <c r="C5">
        <v>-18542</v>
      </c>
      <c r="D5">
        <v>8028</v>
      </c>
      <c r="E5">
        <v>12043</v>
      </c>
      <c r="F5">
        <v>21093</v>
      </c>
      <c r="G5">
        <v>23234</v>
      </c>
      <c r="H5">
        <v>-20816</v>
      </c>
      <c r="I5">
        <v>40281</v>
      </c>
    </row>
    <row r="6" spans="1:9" x14ac:dyDescent="0.35">
      <c r="A6" t="s">
        <v>40</v>
      </c>
      <c r="B6">
        <v>11844</v>
      </c>
      <c r="C6">
        <v>-6890</v>
      </c>
      <c r="D6">
        <v>-15338</v>
      </c>
      <c r="E6">
        <v>21264</v>
      </c>
      <c r="F6">
        <v>7075</v>
      </c>
      <c r="G6">
        <v>29663</v>
      </c>
      <c r="H6">
        <v>-4989</v>
      </c>
      <c r="I6">
        <v>28588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2026-02-04T23:14:04Z</dcterms:created>
  <dcterms:modified xsi:type="dcterms:W3CDTF">2026-02-16T08:57:04Z</dcterms:modified>
</cp:coreProperties>
</file>